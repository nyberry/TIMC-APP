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Users\nckbr\Desktop\TIMC APP 12 May\data\"/>
    </mc:Choice>
  </mc:AlternateContent>
  <xr:revisionPtr revIDLastSave="0" documentId="13_ncr:1_{6EAFDF10-8E6A-4D1D-A68A-7D667A0CCADC}" xr6:coauthVersionLast="47" xr6:coauthVersionMax="47" xr10:uidLastSave="{00000000-0000-0000-0000-000000000000}"/>
  <bookViews>
    <workbookView xWindow="-120" yWindow="-120" windowWidth="21840" windowHeight="13020" xr2:uid="{00000000-000D-0000-FFFF-FFFF00000000}"/>
  </bookViews>
  <sheets>
    <sheet name="Data" sheetId="1" r:id="rId1"/>
    <sheet name="Text" sheetId="2" r:id="rId2"/>
    <sheet name="Recommendations (2)" sheetId="9" state="hidden" r:id="rId3"/>
    <sheet name="Bloods" sheetId="7" state="hidden" r:id="rId4"/>
    <sheet name="Calculations" sheetId="4" r:id="rId5"/>
    <sheet name="GFR calculation" sheetId="10" r:id="rId6"/>
    <sheet name="DropDownLists" sheetId="3" r:id="rId7"/>
  </sheets>
  <externalReferences>
    <externalReference r:id="rId8"/>
  </externalReferences>
  <definedNames>
    <definedName name="abdo_exam">Data!$D$44</definedName>
    <definedName name="Age">Data!$D$8</definedName>
    <definedName name="AHA_cardiac_risk_score_flag">Data!$D$155</definedName>
    <definedName name="B12_value">Data!$D$92</definedName>
    <definedName name="BMI_findings">Text!$F$24</definedName>
    <definedName name="BMI_value">Calculations!$C$12</definedName>
    <definedName name="BP_diastolic">Data!$D$38</definedName>
    <definedName name="bp_findings">Text!$F$34</definedName>
    <definedName name="BP_systolic">Data!$D$37</definedName>
    <definedName name="Creatinine_value">Data!$D$73</definedName>
    <definedName name="CVS_exam">Data!$D$42</definedName>
    <definedName name="D_dimer_findings">Text!$F$151</definedName>
    <definedName name="d_dimer_label">Text!$B$151</definedName>
    <definedName name="d_dimer_summary">Data!$H$121</definedName>
    <definedName name="D_dimer_value">Data!$D$121</definedName>
    <definedName name="date_of_report">Data!$D$14</definedName>
    <definedName name="diabetes_findings">Text!$F$62</definedName>
    <definedName name="Diabetes_label">Text!$B$62</definedName>
    <definedName name="Doctor">Data!$D$15</definedName>
    <definedName name="drinks_alcohol">Calculations!$F$35</definedName>
    <definedName name="end_of_blood_tests" comment="This is where the blood tests end. The word &quot;Value&quot; should appear in this cell when the clear form macro is run" localSheetId="0">Data!$D$151</definedName>
    <definedName name="end_of_data" comment="This is where the data ends. The word &quot;Value&quot; should appear in this cell when the clear form macro is run" localSheetId="0">Data!$D$156</definedName>
    <definedName name="ex_cvs">Data!$D$42</definedName>
    <definedName name="examination">Data!$D$41</definedName>
    <definedName name="examination_values">Data!$D$35:$D$47</definedName>
    <definedName name="Faeces_label">Text!$B$123</definedName>
    <definedName name="fasting_glucose_level">Calculations!$F$24</definedName>
    <definedName name="Fasting_Glucose_value">Data!$D$69</definedName>
    <definedName name="ferritin_level">Calculations!$F$59</definedName>
    <definedName name="Ferritin_value">Data!$D$97</definedName>
    <definedName name="First_name">Data!$D$5</definedName>
    <definedName name="FOB_findings">Text!$F$123</definedName>
    <definedName name="FOB_result">Data!$D$150</definedName>
    <definedName name="folic_acid_value">Data!$D$93</definedName>
    <definedName name="GFR_summary">Calculations!$F$28</definedName>
    <definedName name="GFR_value">Calculations!$D$28</definedName>
    <definedName name="Haematology_findings">Text!$F$89</definedName>
    <definedName name="Haematology_label">Text!$B$89</definedName>
    <definedName name="Hb_level">Calculations!$F$38</definedName>
    <definedName name="Hb_lower_bound">Data!$F$106</definedName>
    <definedName name="Hb_units">Data!$E$106</definedName>
    <definedName name="Hb_upper_bound">Data!$G$106</definedName>
    <definedName name="Hb_value">Data!$D$106</definedName>
    <definedName name="HBA1c_value">Data!$D$68</definedName>
    <definedName name="HDL_Cholesterol">Data!$D$62</definedName>
    <definedName name="Height_value">Data!$D$35</definedName>
    <definedName name="history">Data!$D$23</definedName>
    <definedName name="history_alcohol" comment="Comment about alcohol consumption" localSheetId="0">Data!$D$28</definedName>
    <definedName name="history_exercise" localSheetId="0">Data!$D$30</definedName>
    <definedName name="hx_alcohol">Data!$D$28</definedName>
    <definedName name="hx_alcohol_units">Data!$D$29</definedName>
    <definedName name="hx_allergies">Data!$D$25</definedName>
    <definedName name="hx_chol">Data!$D$21</definedName>
    <definedName name="hx_dm">Data!$D$20</definedName>
    <definedName name="hx_exercise">Data!$D$30</definedName>
    <definedName name="hx_fh">Data!$D$26</definedName>
    <definedName name="hx_htn">Data!$D$22</definedName>
    <definedName name="hx_meds">Data!$D$24</definedName>
    <definedName name="hx_mood">Data!$D$33</definedName>
    <definedName name="hx_pmh">Data!$D$19</definedName>
    <definedName name="hx_se">Data!$D$32</definedName>
    <definedName name="hx_smears">Data!$D$31</definedName>
    <definedName name="hx_smoking">Data!$D$27</definedName>
    <definedName name="iron_level">Calculations!$F$56</definedName>
    <definedName name="Iron_value">Data!$D$96</definedName>
    <definedName name="Kidney_findings">Text!$F$84</definedName>
    <definedName name="kidney_label">Text!$B$84</definedName>
    <definedName name="known_diabetes_flag">Calculations!$F$23</definedName>
    <definedName name="LDL_Cholesterol">Data!$D$64</definedName>
    <definedName name="LFT_summary">Calculations!$F$34</definedName>
    <definedName name="Lipid_findings">Text!$F$42</definedName>
    <definedName name="Lipids_label">Text!$B$42</definedName>
    <definedName name="Liver_findings">Text!$F$78</definedName>
    <definedName name="Liver_label">Text!$B$78</definedName>
    <definedName name="Magnesium_value">Data!$D$95</definedName>
    <definedName name="MSK_exam">Data!$D$45</definedName>
    <definedName name="Non_HDL_cholesterol">Calculations!$C$20</definedName>
    <definedName name="oxygen_saturation">Data!$D$40</definedName>
    <definedName name="platelets_value">Data!$D$111</definedName>
    <definedName name="plt_lower_bound">Data!$F$111</definedName>
    <definedName name="plt_units">Data!$E$111</definedName>
    <definedName name="plt_upper_bound">Data!$G$111</definedName>
    <definedName name="prostate_exam">Data!$D$47</definedName>
    <definedName name="Prostate_findings">Text!$F$117</definedName>
    <definedName name="Prostate_label">Text!$B$117</definedName>
    <definedName name="psa_units">Data!$E$123</definedName>
    <definedName name="PSA_upper_limit">Data!$G$123</definedName>
    <definedName name="psa_value">Data!$D$123</definedName>
    <definedName name="Qrisk3_flag">Data!$D$154</definedName>
    <definedName name="recommendations">Text!$G$2:$G$159</definedName>
    <definedName name="recommendations_findings">Text!$F$160</definedName>
    <definedName name="resting_heart_rate">Data!$D$39</definedName>
    <definedName name="RS_exam">Data!$D$43</definedName>
    <definedName name="Sex">Data!$D$12</definedName>
    <definedName name="skin_exam">Data!$D$46</definedName>
    <definedName name="skin_exam_findings">Text!$F$155</definedName>
    <definedName name="Skin_label">Text!$B$155</definedName>
    <definedName name="Skin_title">Text!$F$155</definedName>
    <definedName name="start_of_blood_tests" comment="This is where the blood tests start. The word &quot;Value&quot; should appear in this cell when the clear form macro is run" localSheetId="0">Data!$D$59</definedName>
    <definedName name="T3_level">Calculations!$F$46</definedName>
    <definedName name="T3_units">Data!$E$128</definedName>
    <definedName name="T3_value">Data!$D$128</definedName>
    <definedName name="T4_level">Calculations!$F$47</definedName>
    <definedName name="T4_units">Data!$E$129</definedName>
    <definedName name="T4_value">Data!$D$129</definedName>
    <definedName name="testosterone_findings">Text!$F$140</definedName>
    <definedName name="testosterone_level">Calculations!$F$51</definedName>
    <definedName name="testosterone_lower">Data!$F$132</definedName>
    <definedName name="testosterone_units">Data!$E$132</definedName>
    <definedName name="testosterone_upper">Data!$G$132</definedName>
    <definedName name="testosterone_value">Data!$D$132</definedName>
    <definedName name="TFT_level">Calculations!$F$49</definedName>
    <definedName name="Thyroid_findings">Text!$F$130</definedName>
    <definedName name="Thyroid_label">Text!$B$130</definedName>
    <definedName name="TIBC_value">Data!$D$98</definedName>
    <definedName name="Total_Cholesterol">Data!$D$61</definedName>
    <definedName name="Total_T4_level">Calculations!$F$48</definedName>
    <definedName name="Total_T4_units">Data!$E$130</definedName>
    <definedName name="Total_T4_value">Data!$D$130</definedName>
    <definedName name="troponin_findings">Text!$F$147</definedName>
    <definedName name="troponin_label">Text!$B$147</definedName>
    <definedName name="Troponin_value">Data!$D$140</definedName>
    <definedName name="TSH_level">Calculations!$F$45</definedName>
    <definedName name="TSH_units">Data!$E$127</definedName>
    <definedName name="TSH_value">Data!$D$127</definedName>
    <definedName name="urinalysis" comment="range of urinalysis values" localSheetId="0">Data!$D$49:$D$57</definedName>
    <definedName name="Vitamin_D_level">Calculations!$F$55</definedName>
    <definedName name="Vitamin_D_lower">Data!$F$100</definedName>
    <definedName name="Vitamin_D_units">Data!$E$100</definedName>
    <definedName name="Vitamin_D_upper">Data!$G$100</definedName>
    <definedName name="Vitamin_D_value">Data!$D$100</definedName>
    <definedName name="Vitamins_findings">Text!$F$100</definedName>
    <definedName name="Vitamins_label">Text!$B$100</definedName>
    <definedName name="WBC_lower_bound">Data!$F$104</definedName>
    <definedName name="wbc_units">Data!$E$104</definedName>
    <definedName name="wbc_upper_bound">Data!$G$104</definedName>
    <definedName name="WBC_value">Data!$D$104</definedName>
    <definedName name="Weight_value">Data!$D$36</definedName>
    <definedName name="Zinc_value">Data!$D$94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4" i="2" l="1"/>
  <c r="F75" i="2"/>
  <c r="F76" i="2"/>
  <c r="G74" i="2"/>
  <c r="G75" i="2"/>
  <c r="G76" i="2"/>
  <c r="D76" i="2"/>
  <c r="E73" i="2"/>
  <c r="D28" i="4"/>
  <c r="H32" i="4"/>
  <c r="H31" i="4"/>
  <c r="H30" i="4"/>
  <c r="H29" i="4"/>
  <c r="H33" i="4"/>
  <c r="C18" i="10"/>
  <c r="C20" i="10"/>
  <c r="C24" i="10"/>
  <c r="C23" i="10"/>
  <c r="C22" i="10"/>
  <c r="C21" i="10"/>
  <c r="C26" i="10" s="1"/>
  <c r="C28" i="4" s="1"/>
  <c r="C19" i="10"/>
  <c r="D155" i="1"/>
  <c r="F10" i="2" l="1"/>
  <c r="F6" i="2"/>
  <c r="E74" i="2" l="1"/>
  <c r="D73" i="2"/>
  <c r="E86" i="2"/>
  <c r="H55" i="4"/>
  <c r="G55" i="4"/>
  <c r="E118" i="2"/>
  <c r="D141" i="2"/>
  <c r="H51" i="4"/>
  <c r="G51" i="4"/>
  <c r="C51" i="4"/>
  <c r="D51" i="4" s="1"/>
  <c r="F140" i="2"/>
  <c r="D142" i="2" s="1"/>
  <c r="D133" i="2"/>
  <c r="G48" i="4"/>
  <c r="H48" i="4"/>
  <c r="G46" i="4"/>
  <c r="H46" i="4"/>
  <c r="D48" i="4"/>
  <c r="F48" i="4" s="1"/>
  <c r="E133" i="2" s="1"/>
  <c r="D47" i="4"/>
  <c r="D45" i="4"/>
  <c r="D46" i="4"/>
  <c r="F46" i="4" s="1"/>
  <c r="E134" i="2" s="1"/>
  <c r="C48" i="4"/>
  <c r="C46" i="4"/>
  <c r="F7" i="2"/>
  <c r="F72" i="2" l="1"/>
  <c r="G72" i="2" s="1"/>
  <c r="D75" i="2"/>
  <c r="D74" i="2"/>
  <c r="F73" i="2"/>
  <c r="G73" i="2" s="1"/>
  <c r="F142" i="2"/>
  <c r="F51" i="4"/>
  <c r="H90" i="1"/>
  <c r="H70" i="1"/>
  <c r="H124" i="1"/>
  <c r="D14" i="1"/>
  <c r="D144" i="2" l="1"/>
  <c r="F144" i="2" s="1"/>
  <c r="G144" i="2" s="1"/>
  <c r="E141" i="2"/>
  <c r="F141" i="2" s="1"/>
  <c r="D143" i="2"/>
  <c r="F143" i="2" s="1"/>
  <c r="G143" i="2" s="1"/>
  <c r="D145" i="2"/>
  <c r="F145" i="2" s="1"/>
  <c r="G145" i="2" s="1"/>
  <c r="F12" i="2"/>
  <c r="H39" i="4"/>
  <c r="G39" i="4"/>
  <c r="H37" i="4"/>
  <c r="G37" i="4"/>
  <c r="H24" i="4"/>
  <c r="G24" i="4"/>
  <c r="D24" i="4"/>
  <c r="C61" i="4"/>
  <c r="C60" i="4"/>
  <c r="C58" i="4"/>
  <c r="C57" i="4"/>
  <c r="C55" i="4"/>
  <c r="D55" i="4" s="1"/>
  <c r="C54" i="4"/>
  <c r="C53" i="4"/>
  <c r="H47" i="4"/>
  <c r="G47" i="4"/>
  <c r="H45" i="4"/>
  <c r="G45" i="4"/>
  <c r="B47" i="4"/>
  <c r="B45" i="4"/>
  <c r="A45" i="4"/>
  <c r="C45" i="4"/>
  <c r="C47" i="4"/>
  <c r="F47" i="4" s="1"/>
  <c r="H42" i="4"/>
  <c r="C39" i="4"/>
  <c r="D39" i="4" s="1"/>
  <c r="C38" i="4"/>
  <c r="D38" i="4" s="1"/>
  <c r="C37" i="4"/>
  <c r="D37" i="4" s="1"/>
  <c r="C59" i="4"/>
  <c r="C56" i="4"/>
  <c r="H98" i="1"/>
  <c r="D109" i="2"/>
  <c r="D108" i="2"/>
  <c r="D106" i="2"/>
  <c r="D105" i="2"/>
  <c r="D103" i="2"/>
  <c r="D102" i="2"/>
  <c r="D101" i="2"/>
  <c r="D107" i="2"/>
  <c r="D104" i="2"/>
  <c r="B128" i="1"/>
  <c r="B129" i="1"/>
  <c r="B130" i="1"/>
  <c r="D152" i="2"/>
  <c r="H121" i="1"/>
  <c r="E152" i="2" s="1"/>
  <c r="F3" i="2"/>
  <c r="F45" i="4" l="1"/>
  <c r="F49" i="4" s="1"/>
  <c r="D138" i="2" s="1"/>
  <c r="C33" i="4"/>
  <c r="C43" i="4"/>
  <c r="C42" i="4"/>
  <c r="D54" i="4"/>
  <c r="F54" i="4" s="1"/>
  <c r="E102" i="2" s="1"/>
  <c r="D56" i="4"/>
  <c r="D57" i="4"/>
  <c r="F57" i="4" s="1"/>
  <c r="E105" i="2" s="1"/>
  <c r="D58" i="4"/>
  <c r="F58" i="4" s="1"/>
  <c r="D59" i="4"/>
  <c r="D60" i="4"/>
  <c r="F60" i="4" s="1"/>
  <c r="D61" i="4"/>
  <c r="F61" i="4" s="1"/>
  <c r="E109" i="2" s="1"/>
  <c r="D53" i="4"/>
  <c r="G54" i="4"/>
  <c r="H54" i="4"/>
  <c r="G56" i="4"/>
  <c r="H56" i="4"/>
  <c r="G57" i="4"/>
  <c r="H57" i="4"/>
  <c r="G58" i="4"/>
  <c r="H58" i="4"/>
  <c r="G59" i="4"/>
  <c r="H59" i="4"/>
  <c r="G60" i="4"/>
  <c r="H60" i="4"/>
  <c r="G61" i="4"/>
  <c r="H61" i="4"/>
  <c r="H53" i="4"/>
  <c r="G53" i="4"/>
  <c r="D136" i="2" l="1"/>
  <c r="F136" i="2" s="1"/>
  <c r="G136" i="2" s="1"/>
  <c r="E106" i="2"/>
  <c r="F56" i="4"/>
  <c r="E104" i="2" s="1"/>
  <c r="F59" i="4"/>
  <c r="E107" i="2" s="1"/>
  <c r="E108" i="2"/>
  <c r="H153" i="1"/>
  <c r="H138" i="1"/>
  <c r="H136" i="1"/>
  <c r="H130" i="1"/>
  <c r="H129" i="1"/>
  <c r="H127" i="1"/>
  <c r="B127" i="1"/>
  <c r="G140" i="2" s="1"/>
  <c r="H125" i="1"/>
  <c r="H123" i="1"/>
  <c r="H116" i="1"/>
  <c r="H115" i="1"/>
  <c r="H114" i="1"/>
  <c r="H113" i="1"/>
  <c r="H112" i="1"/>
  <c r="H111" i="1"/>
  <c r="H110" i="1"/>
  <c r="H109" i="1"/>
  <c r="H108" i="1"/>
  <c r="H107" i="1"/>
  <c r="H106" i="1"/>
  <c r="H105" i="1"/>
  <c r="H104" i="1"/>
  <c r="H97" i="1"/>
  <c r="H96" i="1"/>
  <c r="H93" i="1"/>
  <c r="H92" i="1"/>
  <c r="H89" i="1"/>
  <c r="H88" i="1"/>
  <c r="H87" i="1"/>
  <c r="H86" i="1"/>
  <c r="H85" i="1"/>
  <c r="H83" i="1"/>
  <c r="H76" i="1"/>
  <c r="H75" i="1"/>
  <c r="H74" i="1"/>
  <c r="H73" i="1"/>
  <c r="H72" i="1"/>
  <c r="H71" i="1"/>
  <c r="H69" i="1"/>
  <c r="H68" i="1"/>
  <c r="H66" i="1"/>
  <c r="H65" i="1"/>
  <c r="H64" i="1"/>
  <c r="H63" i="1"/>
  <c r="H62" i="1"/>
  <c r="H61" i="1"/>
  <c r="E161" i="2" l="1"/>
  <c r="D126" i="2" l="1"/>
  <c r="F126" i="2" s="1"/>
  <c r="D127" i="2"/>
  <c r="F127" i="2" s="1"/>
  <c r="G127" i="2" l="1"/>
  <c r="G126" i="2"/>
  <c r="D150" i="2"/>
  <c r="D154" i="2"/>
  <c r="G32" i="2"/>
  <c r="G33" i="2"/>
  <c r="G40" i="2"/>
  <c r="G41" i="2"/>
  <c r="G59" i="2"/>
  <c r="G61" i="2"/>
  <c r="G70" i="2"/>
  <c r="G77" i="2"/>
  <c r="G83" i="2"/>
  <c r="G88" i="2"/>
  <c r="G99" i="2"/>
  <c r="G116" i="2"/>
  <c r="G122" i="2"/>
  <c r="G129" i="2"/>
  <c r="G146" i="2"/>
  <c r="G166" i="2"/>
  <c r="G1" i="2"/>
  <c r="G2" i="2"/>
  <c r="D164" i="2"/>
  <c r="D161" i="2"/>
  <c r="D121" i="2"/>
  <c r="D120" i="2"/>
  <c r="F155" i="2"/>
  <c r="D156" i="2" l="1"/>
  <c r="G155" i="2"/>
  <c r="F156" i="2"/>
  <c r="D157" i="2"/>
  <c r="F158" i="2"/>
  <c r="D158" i="2"/>
  <c r="F157" i="2"/>
  <c r="H38" i="4"/>
  <c r="G38" i="4"/>
  <c r="G157" i="2" l="1"/>
  <c r="G158" i="2"/>
  <c r="G156" i="2"/>
  <c r="D128" i="2"/>
  <c r="F128" i="2" s="1"/>
  <c r="G128" i="2" s="1"/>
  <c r="D125" i="2"/>
  <c r="F125" i="2" s="1"/>
  <c r="E124" i="2"/>
  <c r="D134" i="2"/>
  <c r="D132" i="2"/>
  <c r="D131" i="2"/>
  <c r="D153" i="2"/>
  <c r="G125" i="2" l="1"/>
  <c r="D149" i="2"/>
  <c r="E148" i="2"/>
  <c r="D148" i="2"/>
  <c r="D63" i="2" l="1"/>
  <c r="D64" i="2"/>
  <c r="D59" i="2" l="1"/>
  <c r="D60" i="2"/>
  <c r="D58" i="2"/>
  <c r="D56" i="2"/>
  <c r="D55" i="2"/>
  <c r="D54" i="2"/>
  <c r="D53" i="2"/>
  <c r="D50" i="2"/>
  <c r="D51" i="2"/>
  <c r="D52" i="2"/>
  <c r="D49" i="2"/>
  <c r="D44" i="2"/>
  <c r="D45" i="2"/>
  <c r="D46" i="2"/>
  <c r="D43" i="2"/>
  <c r="D37" i="2"/>
  <c r="D39" i="2"/>
  <c r="D38" i="2"/>
  <c r="D36" i="2"/>
  <c r="D35" i="2"/>
  <c r="B65" i="9"/>
  <c r="B61" i="9"/>
  <c r="B58" i="9"/>
  <c r="B55" i="9"/>
  <c r="B46" i="9"/>
  <c r="B43" i="9"/>
  <c r="B39" i="9"/>
  <c r="B31" i="9"/>
  <c r="B9" i="9"/>
  <c r="B10" i="9" l="1"/>
  <c r="B8" i="9"/>
  <c r="B12" i="9"/>
  <c r="B11" i="9"/>
  <c r="F24" i="2" l="1"/>
  <c r="D31" i="2"/>
  <c r="D26" i="2"/>
  <c r="D25" i="2"/>
  <c r="E132" i="2"/>
  <c r="C26" i="4"/>
  <c r="C25" i="4"/>
  <c r="C24" i="4"/>
  <c r="D26" i="4"/>
  <c r="F26" i="4" s="1"/>
  <c r="D25" i="4"/>
  <c r="C23" i="4"/>
  <c r="D23" i="4" s="1"/>
  <c r="F23" i="4" s="1"/>
  <c r="F39" i="4"/>
  <c r="F38" i="4"/>
  <c r="F37" i="4"/>
  <c r="F43" i="4"/>
  <c r="D93" i="2" l="1"/>
  <c r="D94" i="2"/>
  <c r="F25" i="4"/>
  <c r="E64" i="2" s="1"/>
  <c r="G24" i="2"/>
  <c r="F24" i="4"/>
  <c r="E63" i="2" s="1"/>
  <c r="D69" i="2"/>
  <c r="D68" i="2"/>
  <c r="D67" i="2"/>
  <c r="D66" i="2"/>
  <c r="D65" i="2"/>
  <c r="F40" i="4"/>
  <c r="D96" i="2"/>
  <c r="D97" i="2"/>
  <c r="D98" i="2"/>
  <c r="F53" i="4"/>
  <c r="E101" i="2" s="1"/>
  <c r="F26" i="2"/>
  <c r="F31" i="2"/>
  <c r="F42" i="4"/>
  <c r="D70" i="2" l="1"/>
  <c r="E131" i="2"/>
  <c r="D137" i="2"/>
  <c r="D92" i="2"/>
  <c r="E90" i="2"/>
  <c r="G26" i="2"/>
  <c r="G31" i="2"/>
  <c r="D113" i="2"/>
  <c r="D112" i="2"/>
  <c r="D110" i="2"/>
  <c r="D111" i="2"/>
  <c r="F35" i="4"/>
  <c r="C30" i="4"/>
  <c r="C31" i="4"/>
  <c r="C32" i="4"/>
  <c r="F33" i="4"/>
  <c r="C29" i="4"/>
  <c r="F34" i="2"/>
  <c r="C18" i="4"/>
  <c r="C19" i="4"/>
  <c r="C17" i="4"/>
  <c r="F17" i="4" s="1"/>
  <c r="C16" i="4"/>
  <c r="F137" i="2" l="1"/>
  <c r="G137" i="2" s="1"/>
  <c r="F138" i="2"/>
  <c r="G138" i="2" s="1"/>
  <c r="D18" i="4"/>
  <c r="F18" i="4"/>
  <c r="D16" i="4"/>
  <c r="F16" i="4"/>
  <c r="F29" i="4"/>
  <c r="G3" i="2"/>
  <c r="G12" i="2"/>
  <c r="G10" i="2"/>
  <c r="G34" i="2"/>
  <c r="F19" i="4"/>
  <c r="D19" i="4"/>
  <c r="D17" i="4"/>
  <c r="C21" i="4"/>
  <c r="D21" i="4" s="1"/>
  <c r="C20" i="4"/>
  <c r="F36" i="2"/>
  <c r="F37" i="2"/>
  <c r="F38" i="2"/>
  <c r="F39" i="2"/>
  <c r="E43" i="2" l="1"/>
  <c r="G39" i="2"/>
  <c r="G38" i="2"/>
  <c r="G36" i="2"/>
  <c r="G37" i="2"/>
  <c r="E44" i="2"/>
  <c r="E46" i="2"/>
  <c r="D57" i="2"/>
  <c r="D20" i="4"/>
  <c r="E47" i="2" s="1"/>
  <c r="D48" i="2"/>
  <c r="E48" i="2"/>
  <c r="D47" i="2"/>
  <c r="I11" i="4"/>
  <c r="G11" i="4"/>
  <c r="C13" i="4"/>
  <c r="F13" i="4" s="1"/>
  <c r="D13" i="4" s="1"/>
  <c r="F11" i="2"/>
  <c r="F9" i="2"/>
  <c r="F8" i="2"/>
  <c r="F4" i="2"/>
  <c r="F151" i="2"/>
  <c r="F152" i="2" s="1"/>
  <c r="F11" i="4" l="1"/>
  <c r="D11" i="4" s="1"/>
  <c r="F22" i="2"/>
  <c r="F23" i="2"/>
  <c r="F21" i="2"/>
  <c r="F154" i="2"/>
  <c r="G4" i="2"/>
  <c r="G8" i="2"/>
  <c r="G9" i="2"/>
  <c r="G11" i="2"/>
  <c r="G7" i="2"/>
  <c r="F147" i="2"/>
  <c r="F100" i="2"/>
  <c r="F89" i="2"/>
  <c r="D90" i="2" s="1"/>
  <c r="F117" i="2"/>
  <c r="F130" i="2"/>
  <c r="F133" i="2" s="1"/>
  <c r="G133" i="2" s="1"/>
  <c r="F42" i="2"/>
  <c r="F62" i="2"/>
  <c r="F84" i="2"/>
  <c r="D85" i="2" s="1"/>
  <c r="F78" i="2"/>
  <c r="F123" i="2"/>
  <c r="F17" i="2"/>
  <c r="F18" i="2"/>
  <c r="F20" i="2"/>
  <c r="F16" i="2"/>
  <c r="F13" i="2"/>
  <c r="F15" i="2"/>
  <c r="F19" i="2"/>
  <c r="D14" i="4"/>
  <c r="E11" i="4"/>
  <c r="E87" i="2" l="1"/>
  <c r="F28" i="4"/>
  <c r="E85" i="2" s="1"/>
  <c r="F85" i="2" s="1"/>
  <c r="D87" i="2"/>
  <c r="F87" i="2" s="1"/>
  <c r="D86" i="2"/>
  <c r="F149" i="2"/>
  <c r="G147" i="2"/>
  <c r="G100" i="2"/>
  <c r="G18" i="2"/>
  <c r="G17" i="2"/>
  <c r="G78" i="2"/>
  <c r="G84" i="2"/>
  <c r="G62" i="2"/>
  <c r="G20" i="2"/>
  <c r="G15" i="2"/>
  <c r="G19" i="2"/>
  <c r="G130" i="2"/>
  <c r="F14" i="2"/>
  <c r="G13" i="2"/>
  <c r="G117" i="2"/>
  <c r="G123" i="2"/>
  <c r="G23" i="2"/>
  <c r="F57" i="2"/>
  <c r="G42" i="2"/>
  <c r="G21" i="2"/>
  <c r="G16" i="2"/>
  <c r="G89" i="2"/>
  <c r="F148" i="2"/>
  <c r="F120" i="2"/>
  <c r="F121" i="2"/>
  <c r="D124" i="2"/>
  <c r="F124" i="2" s="1"/>
  <c r="D119" i="2"/>
  <c r="F119" i="2" s="1"/>
  <c r="D118" i="2"/>
  <c r="F118" i="2" s="1"/>
  <c r="F132" i="2"/>
  <c r="F134" i="2"/>
  <c r="F131" i="2"/>
  <c r="D135" i="2"/>
  <c r="F135" i="2" s="1"/>
  <c r="F48" i="2"/>
  <c r="F47" i="2"/>
  <c r="F63" i="2"/>
  <c r="F64" i="2"/>
  <c r="F66" i="2"/>
  <c r="F68" i="2"/>
  <c r="F69" i="2"/>
  <c r="F65" i="2"/>
  <c r="F67" i="2"/>
  <c r="D91" i="2"/>
  <c r="F91" i="2" s="1"/>
  <c r="F90" i="2"/>
  <c r="D95" i="2"/>
  <c r="F95" i="2" s="1"/>
  <c r="F98" i="2"/>
  <c r="F96" i="2"/>
  <c r="F92" i="2"/>
  <c r="F97" i="2"/>
  <c r="F93" i="2"/>
  <c r="F94" i="2"/>
  <c r="F50" i="2"/>
  <c r="F54" i="2"/>
  <c r="F53" i="2"/>
  <c r="F51" i="2"/>
  <c r="F46" i="2"/>
  <c r="F58" i="2"/>
  <c r="F49" i="2"/>
  <c r="F44" i="2"/>
  <c r="F55" i="2"/>
  <c r="F56" i="2"/>
  <c r="F60" i="2"/>
  <c r="F52" i="2"/>
  <c r="F43" i="2"/>
  <c r="F104" i="2"/>
  <c r="F108" i="2"/>
  <c r="F102" i="2"/>
  <c r="F109" i="2"/>
  <c r="F101" i="2"/>
  <c r="F107" i="2"/>
  <c r="F110" i="2"/>
  <c r="F112" i="2"/>
  <c r="F111" i="2"/>
  <c r="F113" i="2"/>
  <c r="F86" i="2" l="1"/>
  <c r="G86" i="2" s="1"/>
  <c r="G67" i="2"/>
  <c r="G44" i="2"/>
  <c r="G96" i="2"/>
  <c r="G98" i="2"/>
  <c r="G46" i="2"/>
  <c r="G108" i="2"/>
  <c r="G51" i="2"/>
  <c r="G66" i="2"/>
  <c r="G121" i="2"/>
  <c r="G104" i="2"/>
  <c r="G53" i="2"/>
  <c r="G91" i="2"/>
  <c r="G64" i="2"/>
  <c r="G120" i="2"/>
  <c r="G92" i="2"/>
  <c r="G58" i="2"/>
  <c r="G124" i="2"/>
  <c r="G43" i="2"/>
  <c r="G63" i="2"/>
  <c r="G148" i="2"/>
  <c r="G118" i="2"/>
  <c r="G109" i="2"/>
  <c r="G69" i="2"/>
  <c r="G95" i="2"/>
  <c r="G111" i="2"/>
  <c r="G60" i="2"/>
  <c r="G94" i="2"/>
  <c r="G87" i="2"/>
  <c r="G48" i="2"/>
  <c r="G132" i="2"/>
  <c r="G65" i="2"/>
  <c r="G57" i="2"/>
  <c r="G54" i="2"/>
  <c r="G50" i="2"/>
  <c r="G112" i="2"/>
  <c r="G93" i="2"/>
  <c r="G135" i="2"/>
  <c r="G101" i="2"/>
  <c r="G49" i="2"/>
  <c r="G119" i="2"/>
  <c r="G102" i="2"/>
  <c r="G68" i="2"/>
  <c r="G85" i="2"/>
  <c r="G113" i="2"/>
  <c r="G52" i="2"/>
  <c r="G47" i="2"/>
  <c r="G110" i="2"/>
  <c r="G56" i="2"/>
  <c r="G97" i="2"/>
  <c r="G131" i="2"/>
  <c r="G14" i="2"/>
  <c r="G107" i="2"/>
  <c r="G55" i="2"/>
  <c r="G90" i="2"/>
  <c r="G134" i="2"/>
  <c r="G149" i="2"/>
  <c r="E45" i="2"/>
  <c r="F45" i="2" s="1"/>
  <c r="G45" i="2" l="1"/>
  <c r="F15" i="4"/>
  <c r="D6" i="7"/>
  <c r="D7" i="7"/>
  <c r="D8" i="7"/>
  <c r="D9" i="7"/>
  <c r="D10" i="7"/>
  <c r="D11" i="7"/>
  <c r="D12" i="7"/>
  <c r="D13" i="7"/>
  <c r="D14" i="7"/>
  <c r="D15" i="7"/>
  <c r="D16" i="7"/>
  <c r="D17" i="7"/>
  <c r="D18" i="7"/>
  <c r="D19" i="7"/>
  <c r="D20" i="7"/>
  <c r="D21" i="7"/>
  <c r="D22" i="7"/>
  <c r="D23" i="7"/>
  <c r="D24" i="7"/>
  <c r="D25" i="7"/>
  <c r="D26" i="7"/>
  <c r="D27" i="7"/>
  <c r="D28" i="7"/>
  <c r="D29" i="7"/>
  <c r="D5" i="7"/>
  <c r="B5" i="7"/>
  <c r="B6" i="7"/>
  <c r="B7" i="7"/>
  <c r="B8" i="7"/>
  <c r="B9" i="7"/>
  <c r="B10" i="7"/>
  <c r="B11" i="7"/>
  <c r="B12" i="7"/>
  <c r="B13" i="7"/>
  <c r="B14" i="7"/>
  <c r="B15" i="7"/>
  <c r="B16" i="7"/>
  <c r="B17" i="7"/>
  <c r="B18" i="7"/>
  <c r="B19" i="7"/>
  <c r="B20" i="7"/>
  <c r="B22" i="7"/>
  <c r="B23" i="7"/>
  <c r="B24" i="7"/>
  <c r="B25" i="7"/>
  <c r="B26" i="7"/>
  <c r="B27" i="7"/>
  <c r="B28" i="7"/>
  <c r="B29" i="7"/>
  <c r="B21" i="7"/>
  <c r="E5" i="7"/>
  <c r="C5" i="7"/>
  <c r="E6" i="7"/>
  <c r="E7" i="7"/>
  <c r="E8" i="7"/>
  <c r="E9" i="7"/>
  <c r="E10" i="7"/>
  <c r="E11" i="7"/>
  <c r="E12" i="7"/>
  <c r="E13" i="7"/>
  <c r="E14" i="7"/>
  <c r="E15" i="7"/>
  <c r="E16" i="7"/>
  <c r="E17" i="7"/>
  <c r="E18" i="7"/>
  <c r="E19" i="7"/>
  <c r="E21" i="7"/>
  <c r="E22" i="7"/>
  <c r="E23" i="7"/>
  <c r="E24" i="7"/>
  <c r="E25" i="7"/>
  <c r="E26" i="7"/>
  <c r="E27" i="7"/>
  <c r="E28" i="7"/>
  <c r="E29" i="7"/>
  <c r="C6" i="7"/>
  <c r="C7" i="7"/>
  <c r="C8" i="7"/>
  <c r="C9" i="7"/>
  <c r="C10" i="7"/>
  <c r="C11" i="7"/>
  <c r="C12" i="7"/>
  <c r="C13" i="7"/>
  <c r="C14" i="7"/>
  <c r="C15" i="7"/>
  <c r="C16" i="7"/>
  <c r="C17" i="7"/>
  <c r="C18" i="7"/>
  <c r="C19" i="7"/>
  <c r="C20" i="7"/>
  <c r="C21" i="7"/>
  <c r="C22" i="7"/>
  <c r="C23" i="7"/>
  <c r="C24" i="7"/>
  <c r="C25" i="7"/>
  <c r="C26" i="7"/>
  <c r="C27" i="7"/>
  <c r="C28" i="7"/>
  <c r="C29" i="7"/>
  <c r="C12" i="4"/>
  <c r="C8" i="4"/>
  <c r="F8" i="4" s="1"/>
  <c r="C7" i="4"/>
  <c r="F7" i="4" s="1"/>
  <c r="B5" i="4"/>
  <c r="D32" i="2" l="1"/>
  <c r="D29" i="2"/>
  <c r="F29" i="2" s="1"/>
  <c r="D30" i="2"/>
  <c r="F30" i="2" s="1"/>
  <c r="D28" i="2"/>
  <c r="F28" i="2" s="1"/>
  <c r="D27" i="2" a="1"/>
  <c r="D27" i="2" s="1"/>
  <c r="F27" i="2" s="1"/>
  <c r="F12" i="4"/>
  <c r="F9" i="4"/>
  <c r="D12" i="4"/>
  <c r="E25" i="2" s="1"/>
  <c r="F25" i="2" s="1"/>
  <c r="D10" i="4"/>
  <c r="D9" i="4"/>
  <c r="C5" i="4"/>
  <c r="D5" i="4" s="1"/>
  <c r="D6" i="4" s="1"/>
  <c r="G25" i="2" l="1"/>
  <c r="G28" i="2"/>
  <c r="G29" i="2"/>
  <c r="G27" i="2"/>
  <c r="G30" i="2"/>
  <c r="E35" i="2"/>
  <c r="F35" i="2" s="1"/>
  <c r="F5" i="2"/>
  <c r="E20" i="7"/>
  <c r="F153" i="2"/>
  <c r="G153" i="2" s="1"/>
  <c r="G152" i="2"/>
  <c r="G150" i="2"/>
  <c r="G151" i="2"/>
  <c r="G5" i="2" l="1"/>
  <c r="G35" i="2"/>
  <c r="F32" i="4"/>
  <c r="F31" i="4" s="1"/>
  <c r="F30" i="4" s="1"/>
  <c r="F34" i="4" s="1"/>
  <c r="D81" i="2" l="1"/>
  <c r="F81" i="2" s="1"/>
  <c r="F79" i="2"/>
  <c r="G79" i="2" s="1"/>
  <c r="D80" i="2"/>
  <c r="F80" i="2" s="1"/>
  <c r="G80" i="2" s="1"/>
  <c r="D82" i="2"/>
  <c r="F82" i="2" s="1"/>
  <c r="G82" i="2" s="1"/>
  <c r="F55" i="4"/>
  <c r="D114" i="2" l="1"/>
  <c r="F114" i="2" s="1"/>
  <c r="G114" i="2" s="1"/>
  <c r="E103" i="2"/>
  <c r="F103" i="2" s="1"/>
  <c r="G103" i="2" s="1"/>
  <c r="F160" i="2"/>
  <c r="F164" i="2" l="1"/>
  <c r="D162" i="2"/>
  <c r="F162" i="2" s="1"/>
  <c r="D163" i="2"/>
  <c r="F163" i="2" s="1"/>
  <c r="F161"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<sst xmlns="http://schemas.openxmlformats.org/spreadsheetml/2006/main" count="816" uniqueCount="568">
  <si>
    <t>Title</t>
  </si>
  <si>
    <t>Doctor</t>
  </si>
  <si>
    <t>Occupation</t>
  </si>
  <si>
    <t>Reason for health check</t>
  </si>
  <si>
    <t>Past Medical History</t>
  </si>
  <si>
    <t>Allergies</t>
  </si>
  <si>
    <t>as a routine preventative measure</t>
  </si>
  <si>
    <t>for employment purposes</t>
  </si>
  <si>
    <t>because of some concerns that had arisen</t>
  </si>
  <si>
    <t>as a routine preventative measure, and for employment purposes</t>
  </si>
  <si>
    <t>You do not regularly take any medications.</t>
  </si>
  <si>
    <t>You are currently taking the following medications:</t>
  </si>
  <si>
    <t>You report having an allergy to…</t>
  </si>
  <si>
    <t>You do not report having any allergies.</t>
  </si>
  <si>
    <t>Family History</t>
  </si>
  <si>
    <t>Smoking</t>
  </si>
  <si>
    <t>Exercise</t>
  </si>
  <si>
    <t>Alcohol</t>
  </si>
  <si>
    <t>are a non-smoker</t>
  </si>
  <si>
    <t>occasionally smoke cigarettes</t>
  </si>
  <si>
    <t>smoke cigarettes and typically will smoke xx cigarettes per day.</t>
  </si>
  <si>
    <t>occasionally consume drinks containing alcohol</t>
  </si>
  <si>
    <t>do not do much structured exercise, but enjoy walking and being outdoors</t>
  </si>
  <si>
    <t>enjoy walking and social exercise</t>
  </si>
  <si>
    <t>have never smoked tobacco products</t>
  </si>
  <si>
    <t>do not consume alcoholic drinks</t>
  </si>
  <si>
    <t>Systems enquiry</t>
  </si>
  <si>
    <t>Mood screening</t>
  </si>
  <si>
    <t>cm</t>
  </si>
  <si>
    <t>kg</t>
  </si>
  <si>
    <t>Systolic BP</t>
  </si>
  <si>
    <t>Diastolic BP</t>
  </si>
  <si>
    <t>mmHg</t>
  </si>
  <si>
    <t>beats per minute</t>
  </si>
  <si>
    <t>%</t>
  </si>
  <si>
    <t>CVS exam</t>
  </si>
  <si>
    <t>RS exam</t>
  </si>
  <si>
    <t>abdo exam</t>
  </si>
  <si>
    <t>normal</t>
  </si>
  <si>
    <t>skin exam</t>
  </si>
  <si>
    <t>MSK exam</t>
  </si>
  <si>
    <t>Total cholesterol</t>
  </si>
  <si>
    <t>HDL cholesterol</t>
  </si>
  <si>
    <t>LDL cholesterol</t>
  </si>
  <si>
    <t>Triglycerides</t>
  </si>
  <si>
    <t>Urea</t>
  </si>
  <si>
    <t>Details</t>
  </si>
  <si>
    <t>nil</t>
  </si>
  <si>
    <t>Medications</t>
  </si>
  <si>
    <t>History</t>
  </si>
  <si>
    <t>Examination</t>
  </si>
  <si>
    <t>Health screen Data Entry Sheet</t>
  </si>
  <si>
    <t>Calculations and formatting operations</t>
  </si>
  <si>
    <t>unformatted</t>
  </si>
  <si>
    <t>formatted</t>
  </si>
  <si>
    <t>notes</t>
  </si>
  <si>
    <t>for .DOCX filename</t>
  </si>
  <si>
    <t>name and date of medical</t>
  </si>
  <si>
    <t>Screening Questions</t>
  </si>
  <si>
    <t>Examination findings</t>
  </si>
  <si>
    <t>&lt;&lt;&lt; ENTER DETAILS &gt;&gt;&gt;</t>
  </si>
  <si>
    <t>Drop Down Lists for use in Data Entry</t>
  </si>
  <si>
    <t>Reason for Medical</t>
  </si>
  <si>
    <t>Blood Pressure normal?</t>
  </si>
  <si>
    <t>Blood Pressure</t>
  </si>
  <si>
    <t>Systolic Blood Pressure</t>
  </si>
  <si>
    <t>Diastolic Blood Pressure</t>
  </si>
  <si>
    <t>References</t>
  </si>
  <si>
    <t>AHA targets: optimal &lt;120/80; normal 120-139/80-89; hypertension &gt;140/90</t>
  </si>
  <si>
    <t>https://www.ahajournals.org/doi/10.1161/CIRCULATIONAHA.121.054602</t>
  </si>
  <si>
    <t>Urine</t>
  </si>
  <si>
    <t>+</t>
  </si>
  <si>
    <t>++</t>
  </si>
  <si>
    <t>+++</t>
  </si>
  <si>
    <t>++++</t>
  </si>
  <si>
    <t>abnormal</t>
  </si>
  <si>
    <t>not done</t>
  </si>
  <si>
    <t>no</t>
  </si>
  <si>
    <t>yes</t>
  </si>
  <si>
    <t>Diabetes</t>
  </si>
  <si>
    <t>type 2</t>
  </si>
  <si>
    <t>type 1</t>
  </si>
  <si>
    <t>pre-diabetes</t>
  </si>
  <si>
    <t>Sodium</t>
  </si>
  <si>
    <t>Potassium</t>
  </si>
  <si>
    <t>Recommendations</t>
  </si>
  <si>
    <t>Body Mass Index</t>
  </si>
  <si>
    <t>&lt;18.0</t>
  </si>
  <si>
    <t>18.0-24.9</t>
  </si>
  <si>
    <t>25.0-29.9</t>
  </si>
  <si>
    <t>&gt;=30.0(1)</t>
  </si>
  <si>
    <t>ECG</t>
  </si>
  <si>
    <t>Known diabetes?</t>
  </si>
  <si>
    <t>On meds for hypertension?</t>
  </si>
  <si>
    <t>On meds for high cholesterol?</t>
  </si>
  <si>
    <t>normal sinus rhythm</t>
  </si>
  <si>
    <t>Age</t>
  </si>
  <si>
    <t>Blood test results</t>
  </si>
  <si>
    <t>Result</t>
  </si>
  <si>
    <t>Normal range</t>
  </si>
  <si>
    <t>Blood Test</t>
  </si>
  <si>
    <t>Description</t>
  </si>
  <si>
    <t>Normal blood pressure can be maintained by avoiding excess salt in the diet; eating a balanced diet rich in whole grains, fresh fruit and vegetables; maintaining a healthy body weight; taking regular exercise; limiting alcohol consumption; and avoiding excess caffeine; and by cutting down on smoking if you're a smoker.</t>
  </si>
  <si>
    <t>&lt;140/90</t>
  </si>
  <si>
    <t>Blood pressure can be lowered maintained by reducing salt in the diet; eating a balanced diet rich in whole grains, fresh fruit and vegetables; maintaining a healthy body weight; taking regular exercise; limiting alcohol consumption; reducing caffeine; and by cutting down on smoking if you're a smoker.</t>
  </si>
  <si>
    <t>Decisions about managing blood pressure can be complicated, and not usually made on the basis of a single reading. Also, clinic readings are sometimes higher than home readings- this is sometimes called the "white coat" effect. So, a good next step might be to invest in an electronic blood pressure monitor. These are affordable and available from pharmacies. If you are able to take a series of home readings, at different times and on different days, then we would be pleased to look at these with you and offer further advice.</t>
  </si>
  <si>
    <t>Text to include</t>
  </si>
  <si>
    <t>For all</t>
  </si>
  <si>
    <t>Lipid Profile</t>
  </si>
  <si>
    <t>Range</t>
  </si>
  <si>
    <t>Lipids</t>
  </si>
  <si>
    <t>flag</t>
  </si>
  <si>
    <t>&lt;green</t>
  </si>
  <si>
    <t>red&gt;</t>
  </si>
  <si>
    <t>no DM, &lt;5.7%</t>
  </si>
  <si>
    <t>no DM, &gt;5.7%</t>
  </si>
  <si>
    <t>no DM, &gt;6.4%</t>
  </si>
  <si>
    <t>Your HbA1c is raised at a level that can suggest diabetes. It is important to discuss this with your doctor. To maintain a healthy blood glucose level, it is helpful to exercise regularly; to eat a varied and balanced diet avoiding excess sugar, including in sweetened drinks and fruit juices. Diabetes is often linked with having some excess weight and in fact, if you are overweight, then losing around 7% of your bodyweight can reduce the chance of developing diabetes by over 50%. Because diabetes increases the risk of problems such as heart, eye and kidney disease, treatment may be advised.</t>
  </si>
  <si>
    <t xml:space="preserve">Your HbA1c level suggests good control of diabetes. To maintain a healthy blood glucose level, it is helpful to maintain a healthy weight; to exercise regularly; to eat a varied and balanced diet avoiding excess sugar, including in sweetened drinks and fruit juices. </t>
  </si>
  <si>
    <t>Your HbA1c level suggests that diabetes may not be fully under control. To maintain a healthy blood glucose level, it is helpful to maintain a healthy weight; to exercise regularly; to eat a varied and balanced diet avoiding excess sugar, including in sweetened drinks and fruit juices. It is recommended to discuss this further with your doctor, as further treatment or adjustments to treatment might be recommended.</t>
  </si>
  <si>
    <t>Hba1c not diabetic</t>
  </si>
  <si>
    <t>Hba1c known diabetes</t>
  </si>
  <si>
    <t>previously smoked, but stopped some years ago</t>
  </si>
  <si>
    <t>consume drinks containing alcohol, typically xx times per week</t>
  </si>
  <si>
    <t>done?</t>
  </si>
  <si>
    <t>Creatinine</t>
  </si>
  <si>
    <t>WBC</t>
  </si>
  <si>
    <t>RBC Count</t>
  </si>
  <si>
    <t>Haemoglobin</t>
  </si>
  <si>
    <t>HCT</t>
  </si>
  <si>
    <t>MCV</t>
  </si>
  <si>
    <t>MCH</t>
  </si>
  <si>
    <t>Platelets (PLT)</t>
  </si>
  <si>
    <t>Neutrophils</t>
  </si>
  <si>
    <t>Lymphocytes</t>
  </si>
  <si>
    <t>Monocytes</t>
  </si>
  <si>
    <t>Eosinophils</t>
  </si>
  <si>
    <t>Basophils</t>
  </si>
  <si>
    <t>HBA1c</t>
  </si>
  <si>
    <t>SGOT - (AST)</t>
  </si>
  <si>
    <t>SGPT - (ALT)</t>
  </si>
  <si>
    <t>Alkaline Phosphatase - (ALP)</t>
  </si>
  <si>
    <t>Bilirubin - (Total)</t>
  </si>
  <si>
    <t>Gamma Glutamyl Transferase -(GGT)</t>
  </si>
  <si>
    <t>Thyroid Stimulating Hormone (TSH)</t>
  </si>
  <si>
    <t>Free T4 (Free Thyroxine)</t>
  </si>
  <si>
    <t>Surname</t>
  </si>
  <si>
    <t>First name</t>
  </si>
  <si>
    <t>Date of birth</t>
  </si>
  <si>
    <t>Clinic reference</t>
  </si>
  <si>
    <t>Sex</t>
  </si>
  <si>
    <t>Date of medical</t>
  </si>
  <si>
    <t>Height</t>
  </si>
  <si>
    <t>Weight</t>
  </si>
  <si>
    <t>Resting heart rate</t>
  </si>
  <si>
    <t>Oxygen Saturation</t>
  </si>
  <si>
    <t xml:space="preserve"> mmol/L</t>
  </si>
  <si>
    <t xml:space="preserve"> </t>
  </si>
  <si>
    <t xml:space="preserve"> %</t>
  </si>
  <si>
    <t xml:space="preserve"> mg/dL</t>
  </si>
  <si>
    <t xml:space="preserve"> U/L</t>
  </si>
  <si>
    <t xml:space="preserve"> uIU/mL</t>
  </si>
  <si>
    <t xml:space="preserve"> pmol/L</t>
  </si>
  <si>
    <t xml:space="preserve"> 10^3/uL</t>
  </si>
  <si>
    <t xml:space="preserve"> 10^6/uL</t>
  </si>
  <si>
    <t xml:space="preserve"> g/dL</t>
  </si>
  <si>
    <t xml:space="preserve"> fL</t>
  </si>
  <si>
    <t xml:space="preserve"> pg</t>
  </si>
  <si>
    <t>kidney</t>
  </si>
  <si>
    <t>Liver</t>
  </si>
  <si>
    <t>Vitamins</t>
  </si>
  <si>
    <t>Haematology</t>
  </si>
  <si>
    <t>Thyroid</t>
  </si>
  <si>
    <t>Group</t>
  </si>
  <si>
    <t>Blood test</t>
  </si>
  <si>
    <t>END</t>
  </si>
  <si>
    <t>End of blood tests</t>
  </si>
  <si>
    <t>End of data fields</t>
  </si>
  <si>
    <t>Text fields for report</t>
  </si>
  <si>
    <t>Date of report</t>
  </si>
  <si>
    <t>Known high cholesterol?</t>
  </si>
  <si>
    <t>Known hypertension?</t>
  </si>
  <si>
    <t>Alcohol units</t>
  </si>
  <si>
    <t>per week</t>
  </si>
  <si>
    <t>SpO2 normal?</t>
  </si>
  <si>
    <t>urinalysis?</t>
  </si>
  <si>
    <t>GFR</t>
  </si>
  <si>
    <t>prostate exam</t>
  </si>
  <si>
    <t>Skin exam</t>
  </si>
  <si>
    <t>On inspection of the skin of the head, face, neck, torso, arms and legs, you have severa light to mid brown moles. Clinically these all appear to be benign dermal naevi, or harmless moles. There are no suspicious moles, or other areas of concern.</t>
  </si>
  <si>
    <t>all</t>
  </si>
  <si>
    <t>A normal BMI is usually best achieved through a long term commitment to  a healthy diet and a lifestyle incorporating regular exercise. People sometimes ask how much exercise in enough? Current UK guidelines suggest doing at least 150 minutes of moderate intensity activity per week, or at least 75 minutes of vigorous activity, or a mixture of both, with strengthening activities on at least two days.</t>
  </si>
  <si>
    <t>&gt;140/90(2)</t>
  </si>
  <si>
    <t>&gt;140/90(1)</t>
  </si>
  <si>
    <t>https://www.mayoclinic.org/tests-procedures/cholesterol-test/about/pac-20384601</t>
  </si>
  <si>
    <t>Ways to maintain a healthy lipid profile include exercising regularly and maintaining a healthy body weight. It’s best to choose high fibre foods such as fruit, vegetables, and unsalted nuts; and avoid saturated fats and trans-fats found in foods like butter, cheese, cakes and biscuits. If you drink alcohol, do so in moderation, as alcohol can raise triglycerides and cholesterol levels.</t>
  </si>
  <si>
    <t>Your HbA1c is normal, and so we can be reassured that you are not currently at increased risk of diabetes. To maintain a healthy blood glucose level, it is helpful to maintain a healthy weight; to exercise regularly; to eat a varied and balanced diet avoiding excess sugar, including in sweetened drinks and fruit juices.</t>
  </si>
  <si>
    <t>bp</t>
  </si>
  <si>
    <t>bmi</t>
  </si>
  <si>
    <t>urine</t>
  </si>
  <si>
    <t>Value</t>
  </si>
  <si>
    <t>details</t>
  </si>
  <si>
    <t>title</t>
  </si>
  <si>
    <t>value</t>
  </si>
  <si>
    <t>explanation</t>
  </si>
  <si>
    <t>value total</t>
  </si>
  <si>
    <t>value HDL</t>
  </si>
  <si>
    <t>value LDL</t>
  </si>
  <si>
    <t>value Triglycerides</t>
  </si>
  <si>
    <t>normal explanation</t>
  </si>
  <si>
    <t>abnormal comment</t>
  </si>
  <si>
    <t>The blood tests showed an elevation in one or more liver function tests. There can be several reasons for this. When people are carrying some extra weight, fat can be deposited in the liver and this can cause some liver strain. Alcohol can of course affect the liver too. The Current UK recommendation is to drink no more than 14 units of alcohol a week, spread across 3 days or more. That's around 6 medium (175ml) glasses of wine, or 6 pints of 4% beer. There's no completely safe level of drinking, but sticking within these guidelines lowers the risk of harming your health.</t>
  </si>
  <si>
    <t>LFT overall</t>
  </si>
  <si>
    <t>low</t>
  </si>
  <si>
    <t>The blood tests did not identify any increased risk of liver disease. Alcohol can of course affect the liver, and to maintain a healthy liver the Current UK recommendation is to drink no more than 14 units of alcohol a week, spread across 3 days or more. That's around 6 medium (175ml) glasses of wine, or 6 pints of 4% beer. There's no completely safe level of drinking, but sticking within these guidelines lowers the risk of harming your health.</t>
  </si>
  <si>
    <t>normal, drinker</t>
  </si>
  <si>
    <t>normal, teetotal</t>
  </si>
  <si>
    <t>The blood tests did not identify any increased risk of liver disease.</t>
  </si>
  <si>
    <t>possibly drinks alcohol?</t>
  </si>
  <si>
    <t>FBC</t>
  </si>
  <si>
    <t>plt</t>
  </si>
  <si>
    <t>Hb</t>
  </si>
  <si>
    <t>Lipid comment</t>
  </si>
  <si>
    <t>Explanation</t>
  </si>
  <si>
    <t>Normal</t>
  </si>
  <si>
    <t>Your CBC is essentially normal. It is quite common for one or two parameters in the full blood count to brush up against the limits of the normal range, and this is not usually of clinical concern. If there are any significant departures from normal, a repeat test is often suggested after an appropriate interval.</t>
  </si>
  <si>
    <t>Sometimes also called a complete blood count (CBC), this blood test is used to look at overall health and can provide pointers to a wide range of conditions, including anemia, infection and leukemias. The CBC test measures the following: Red blood cells, which carry oxygen; White blood cells, which fight infection; Hemoglobin, the oxygen-carrying protein in red blood cells; and platelets, which help blood to clot.</t>
  </si>
  <si>
    <t>Your body produces white blood cells (leukocytes), which help fight bacterial infections. Your white blood cell count is low. A low white blood cell count can increase the risk of infections, and may be caused by a number of different diseases and conditions. This is something which should be discussed with your doctor.</t>
  </si>
  <si>
    <t>Your body produces white blood cells (leukocytes), which help fight bacterial infections. Your white blood cell count is high. This is often due to having an infection, but a number of different diseases and conditions may cause a long-term high white blood cell count. This is something which should be discussed with your doctor.</t>
  </si>
  <si>
    <t>high platelets</t>
  </si>
  <si>
    <t>Platelets help blood to clot. Your platelet level was high. This is commonly a reponse to inflammation or infection, but can be caused by other conditions too. This should be discussed with your doctor.</t>
  </si>
  <si>
    <t>Platelets help blood to clot. Your platelet level was low. This can occur as part of an immune system problem, as a result of taking certain medicines, or occasionally as part of a bone marrow disorder. Usually, having a low platelet count causes few signs or symptoms. In rare cases, the number of platelets can be so low that spontaneous bruising and  bleeding occurs. This should be discussed with your doctor.</t>
  </si>
  <si>
    <t>low platelets</t>
  </si>
  <si>
    <t>high WBC</t>
  </si>
  <si>
    <t>low WBC</t>
  </si>
  <si>
    <t>PSA</t>
  </si>
  <si>
    <t>Prostate</t>
  </si>
  <si>
    <t>high</t>
  </si>
  <si>
    <t>There is no specific normal or abnormal level of PSA in the blood. In the past, PSA levels of 4.0 ng/mL and lower were considered normal. However, the lower a man's PSA level, the less likely it is that he has prostate cancer.</t>
  </si>
  <si>
    <t>The PSA level tends to increase with age, prostate gland size, and inflammation or infection. A recent prostate biopsy will also increase the PSA level, as can ejaculation or vigorous exercise (such as cycling) in the 2 days before testing. Conversely, some drugs—including finasteride and dutasteride, which are used to treat BPH—lower the PSA level. Because a raised PSA can suggest an increased risk of prostate cancer, further action should be discussed with your doctor.</t>
  </si>
  <si>
    <t>blood in urine</t>
  </si>
  <si>
    <t>protein in urine</t>
  </si>
  <si>
    <t>glucose in urine</t>
  </si>
  <si>
    <t>WBC in urine</t>
  </si>
  <si>
    <t>nitrites in urine</t>
  </si>
  <si>
    <t>bilirubin in urine</t>
  </si>
  <si>
    <t>ketones in urine</t>
  </si>
  <si>
    <t>urine pH</t>
  </si>
  <si>
    <t>Specific gravity</t>
  </si>
  <si>
    <t>DM, &lt;6.5%</t>
  </si>
  <si>
    <t>DM,&gt;6.5%</t>
  </si>
  <si>
    <t>Faeces</t>
  </si>
  <si>
    <t>Faecal occult blood</t>
  </si>
  <si>
    <t>negative</t>
  </si>
  <si>
    <t>positive</t>
  </si>
  <si>
    <t>The faecal occult blood test (FOBT) is used to find blood in the faeces, or stool. An FOBT finds blood in the stool that you cannot see. Blood in the stool may be a sign of colorectal cancer or another medical problem, such as an ulcer or polyps. We should discuss this further please.</t>
  </si>
  <si>
    <t xml:space="preserve">The faecal occult blood test (FOBT) is used to find blood in the faeces, or stool. An FOBT finds blood in the stool that you cannot see. Blood in the stool may be a sign of colorectal cancer or another medical problem, such as an ulcer or polyps. No blood was found in your stool, which is a normal result. </t>
  </si>
  <si>
    <t>Your HbA1c is between 5.8 and 6.4, which is a level that can suggest pre-diabetes. This is not the same as having diabetes. But it means that you may have an increased risk of developing diabetes in future. To maintain a healthy blood glucose level, it is helpful to exercise regularly; to eat a varied and balanced diet avoiding excess sugar, including in sweetened drinks and fruit juices. Diabetes is often linked with having some excess weight and in fact, if you are overweight, then losing around 7% of your bodyweight can reduce the chance of developing diabetes by over 50%. Because diabetes increases the risk of problems such as heart, eye and kidney disease, it is important to closely monitor HbA1c and this is something which should be discussed with your doctor.</t>
  </si>
  <si>
    <t>exercise regular</t>
  </si>
  <si>
    <t>engage regularly in aerobic exercise and strengthening exercise</t>
  </si>
  <si>
    <t>are very conscious of keeping physically fit and exercise most days</t>
  </si>
  <si>
    <t>Cervical smears</t>
  </si>
  <si>
    <t>`</t>
  </si>
  <si>
    <t>explain</t>
  </si>
  <si>
    <t>Your thyroid functions tests are normal, suggesting that the thyroid gland is working normally.</t>
  </si>
  <si>
    <t>Thyroid blood tests check for hormones and proteins like antibodies and thyroglobulin. These tests can tell you if you have conditions like hypothyroidism (underactive thyroid) or hyperthyroidism (overactive thyroid).</t>
  </si>
  <si>
    <t>Your TSH level was high, which can suggest an underactive thyroid gland (hypothyroidism). If you are taking thyroid replacement medications, it is possible that the dose may require review.</t>
  </si>
  <si>
    <t>Thyroid function</t>
  </si>
  <si>
    <t>Skin</t>
  </si>
  <si>
    <t>fasting glucose</t>
  </si>
  <si>
    <t>Your fasting glucose level is above the normal range. This may be because it was not in fact a true fasting sample. If there is any doubt, it would be worth repeating this one morning after an overnight fast. Please can we then discuss the result.</t>
  </si>
  <si>
    <t>high, not known DM</t>
  </si>
  <si>
    <t>high, known DM</t>
  </si>
  <si>
    <t>Your fasting glucose level is above the normal range, but this is a common finding in people who have diabetes. The best marker of diabetes control is the HbA1c test.</t>
  </si>
  <si>
    <t>Known Diabetes?</t>
  </si>
  <si>
    <t>vits</t>
  </si>
  <si>
    <t>Iron is required to make haemaglobin,  which red blood cells use to carry oxygen from your lungs to the rest of your body. Every organ and tissue in your body needs oxygen to work. Without enough haemaglobin, you may feel tired, weak, or short of breath. Your iron levels are low, and so we should discuss this further please. We should consider the possible causes, and the best way to restore iron levels to normal. This often involves taking a supplement.</t>
  </si>
  <si>
    <t>low iron, low ferritin</t>
  </si>
  <si>
    <t>high iron</t>
  </si>
  <si>
    <t>Iron is required to make haemaglobin,  which red blood cells use to carry oxygen from your lungs to the rest of your body. Every organ and tissue in your body needs oxygen to work. Without enough haemaglobin, you may feel tired, weak, or short of breath. Ferritin levels reflect the iron stores available to your body. Your iron and ferritin levels are both low, and so we should discuss this further please. We should consider the possible causes, and the best way to restore iron levels to normal. This often involves taking a supplement.</t>
  </si>
  <si>
    <t>Iron is required to make haemaglobin,  which red blood cells use to carry oxygen from your lungs to the rest of your body. Every organ and tissue in your body needs oxygen to work. Without enough haemaglobin, you may feel tired, weak, or short of breath. Iron is stored in the body as ferritin. Your ferritin levels are low, and so we should discuss this further please. We should consider the possible causes, and the best way to restore iron levels to normal. This often involves taking a supplement.</t>
  </si>
  <si>
    <t>Your iron level is high. Excess iron is stored in your organs, especially your liver, heart and pancreas. Over time, too much iron can lead to health problems such as liver disease, heart problems and diabetes. High iron levels may be due to a common genetic condition, or due to excess iron intake in the diet or through supplements. This is something we should discuss further please.</t>
  </si>
  <si>
    <r>
      <t>If a ferritin test shows higher than normal levels, </t>
    </r>
    <r>
      <rPr>
        <sz val="11"/>
        <rFont val="Calibri"/>
        <family val="2"/>
      </rPr>
      <t>it could indicate that you have a condition that causes your body to store too much iron</t>
    </r>
    <r>
      <rPr>
        <sz val="11"/>
        <rFont val="Calibri"/>
        <family val="2"/>
      </rPr>
      <t>. It could also point to liver disease, rheumatoid arthritis, other inflammatory conditions or hyperthyroidism.</t>
    </r>
  </si>
  <si>
    <t>low ferritin, iron not low</t>
  </si>
  <si>
    <t>low iron, ferritin not low</t>
  </si>
  <si>
    <t>high ferritin, iron not high</t>
  </si>
  <si>
    <t>Blood tests</t>
  </si>
  <si>
    <t>TSH normal, T4 normal</t>
  </si>
  <si>
    <t>TSH low</t>
  </si>
  <si>
    <t>TSH high</t>
  </si>
  <si>
    <t>Low Hb, iron not checked, ferritin not checked</t>
  </si>
  <si>
    <t>Low Hb, (iron or ferritin) checked</t>
  </si>
  <si>
    <t>Your haemoglobin level is low, which suggests anaemia. There are many forms of anemia, with many possible causes.</t>
  </si>
  <si>
    <t>Your haemoglobin level is low, which suggests anaemia. Having anemia can cause tiredness, weakness and shortness of breath. There are many forms of anaemia, with many possible causes. Anaemia can range from mild to severe, and can be a warning sign for some illness.This is something that we should discuss investigating further. Tests might include checking iron levels, and checking the gut. Treatments for anemia might involve taking supplements or having medical procedures. Eating a healthy diet might prevent some forms of anemia.</t>
  </si>
  <si>
    <t>Display?</t>
  </si>
  <si>
    <t>explanation - all</t>
  </si>
  <si>
    <t>Body mass index (BMI) is calculated based on your height and weight. A body mass index of 18-25 is considered optimal, although for some people a BMI of up to 27 or slightly higher may still be normal and healthy.</t>
  </si>
  <si>
    <t>recommendation - all</t>
  </si>
  <si>
    <t>Your BMI is on the low side. Some people are naturally light-framed, although a lower body mass index can also be linked with a risk of osteoporosis and fractures, and can sometimes point to other medical conditions including as gastrointestinal malabsorption, thyroid problems, or eating disorders. I'd recommend further discussion, and perhaps to consider a dietician review if it seems appropriate.</t>
  </si>
  <si>
    <t xml:space="preserve">Your BMI is perhaps just a little above the very optimal range for health. This is not unusual, in fact fewer than half of all adults have an optimal BMI. However we know that a BMI of 25 or less is associated with a lower risk of medical conditions like diabetes and high blood pressure. </t>
  </si>
  <si>
    <t xml:space="preserve">Your BMI is above the optimal range for health. This is not unusual, in fact fewer than half of all adults have an optimal BMI. However we know that a normal BMI is associated with a lower risk of medical conditions like diabetes and high blood pressure. </t>
  </si>
  <si>
    <t>recommendation &gt;30</t>
  </si>
  <si>
    <t>Explanations and Recommendations</t>
  </si>
  <si>
    <t>Heading</t>
  </si>
  <si>
    <t>Criteria</t>
  </si>
  <si>
    <t>Evidence</t>
  </si>
  <si>
    <t>BMI</t>
  </si>
  <si>
    <t>BMI level = low</t>
  </si>
  <si>
    <t>BMI level = normal</t>
  </si>
  <si>
    <t xml:space="preserve">Your BMI is within the optimal range. You should aim to maintain this healthy weight. It is worth keeping in mind that unexplained changes in weight can be a sign of some medical conditions, and should be discussed with your doctor. </t>
  </si>
  <si>
    <t>BMI level  = a little high</t>
  </si>
  <si>
    <t>BMI level = high</t>
  </si>
  <si>
    <t>BMI level = high(2)</t>
  </si>
  <si>
    <t>There are many approaches to weight management, including through diet, exercise and medications. If you would like to find out more about any options which might be appropriate for you, please let me know, I would be happy to discuss.</t>
  </si>
  <si>
    <t>Criteria to display</t>
  </si>
  <si>
    <t>value - all</t>
  </si>
  <si>
    <t>criteria to display</t>
  </si>
  <si>
    <t>Text to Include</t>
  </si>
  <si>
    <t>As blood flows around the body it exerts pressure on blood vessel walls. Raised blood pressure is a risk factor for heart attacks and strokes. While guidelines vary a little from country to country, an ideal blood pressure is usually considered to be less than around 130/80. On the other hand, readings above 140/90 are considered too high, and action is usually recommended to lower it.</t>
  </si>
  <si>
    <t>explanation- all</t>
  </si>
  <si>
    <t>Blood pressure can be lowered by reducing salt in the diet; eating a balanced diet rich in whole grains, fresh fruit and vegetables; maintaining a healthy body weight; taking regular exercise; limiting alcohol consumption; reducing caffeine; and by cutting down on smoking if you're a smoker.</t>
  </si>
  <si>
    <t>Decisions about managing blood pressure can be complicated, and not usually made on the basis of a single reading. Also, clinic readings are sometimes higher than home readings- this is sometimes called the "white coat" effect. So, a good next step might be to invest in an electronic blood pressure monitor. These are affordable and available from pharmacies. If you are able to take a series of home readings, at different times and on different days, then I would be pleased to look at these with you and offer further advice.</t>
  </si>
  <si>
    <t>value Non-HDL</t>
  </si>
  <si>
    <t>Cholesterol:HDL ratio</t>
  </si>
  <si>
    <t>Non-HDL cholesterol</t>
  </si>
  <si>
    <t>display?</t>
  </si>
  <si>
    <t>LDL &gt;=5.0</t>
  </si>
  <si>
    <t>Your lipid profile is satisfactory, but there may be scope to make some improvements. While the HDL cholesterol is at a healthy level, the LDL cholesterol levels are just a little high.</t>
  </si>
  <si>
    <t>Your lipid profile shows there is definitely scope to make some improvements. While the HDL cholesterol is at a reasonable level, the LDL cholesterol levels are high.</t>
  </si>
  <si>
    <t>Your lipid profile is satisfactory, but there may be scope to make some improvements. While the HDL cholesterol is at a reasonable level, the LDL cholesterol levels are just a little high.</t>
  </si>
  <si>
    <t>HDL&gt;=1.0 and  HDL &lt;=1.4 and LDL&gt;=3.5 and LDL&lt;=4.9</t>
  </si>
  <si>
    <t>HDL&gt;=1.0 and HDL &lt;=1.4 and LDL&gt;=5.0</t>
  </si>
  <si>
    <t>HDL&gt;=1.5 and LDL&gt;=3.5 and LDL&lt;=4.9</t>
  </si>
  <si>
    <t>HDL&gt;=1.5 and LDL&gt;=5.0</t>
  </si>
  <si>
    <t>Your lipid profile shows there is definitely scope to make some improvements. While the HDL cholesterol is at a healthy level, the LDL cholesterol levels are high.</t>
  </si>
  <si>
    <t>Chol &gt;9 or Non-HDL&gt;7.5</t>
  </si>
  <si>
    <t>At these levels, it is important that we discuss further. It may be helpful to consider genetic causes of high cholesterol.</t>
  </si>
  <si>
    <t>HDL&gt;=1.0 and  HDL &lt;=1.4 and LDL&lt;=3.4</t>
  </si>
  <si>
    <t>HDL&gt;=1.5 and LDL&lt;=3.4</t>
  </si>
  <si>
    <t>Your lipid profile is excellent. Both the HDL and LDL are in the optimal range. This probably reflects your healthy diet and lifestyle. This is important in preventing the build up pf deposits called atheroma on artery walls, and reduces the risk of developing heart disease in the future.</t>
  </si>
  <si>
    <t>Your lipid profile is good. The LDL cholesterol is in the optimal range, and the HDL is satisfactory. Maintaining a low LDL cholesterol level is important in preventing the build up pf deposits called atheroma on artery walls, and reduces the risk of developing heart disease in the future.</t>
  </si>
  <si>
    <t>It may be worthwhile considering having the test repeated in around 3-6 months, to monitor any changes after modifying risk factors and diet. However, if your diet and lifestyle are already healthy, then we should discuss whether you may wish to take medication to lower cholesterol. Often, genetic factors result in raised cholesterol. Medication to help lower cholesterol is a safe and effective option which can reduce the risk of heart attacks and strokes in the years to come.</t>
  </si>
  <si>
    <t>Consider whether it is likely that cholesterol levels can be lowered through changes to diet and lifestyle? If so, then it might be reasonable to recheck cholesterol levels in around 3 to 6 months. Alternatively, we could discuss whether you might consider trying medication to lower cholesterol.</t>
  </si>
  <si>
    <t>Summary recommendation</t>
  </si>
  <si>
    <t>Nice lipid</t>
  </si>
  <si>
    <t>The lipid profile looks at the levels of various types of fats in the blood: triglycerides, and different types of cholesterol. HDL cholesterol is sometimes referred to as “good cholesterol” as it can protect against heart disease. LDL cholesterol is sometimes referred to as “bad cholesterol” as raised levels can increase the risk for heart disease.</t>
  </si>
  <si>
    <t>HDL &lt;=0.9 and LDL&lt;=3.4</t>
  </si>
  <si>
    <t>Your lipid profile is interesting. The LDL cholesterol is in the healthy range. However the HDL (or "good cholesterol") is low. Maintaining a healthy HDL cholesterol level is important in preventing the build up of deposits called atheroma on artery walls, and reduces the risk of developing heart disease in the future. Low HDL cholesterol levels can often suggest some scope for improvements in the diet.</t>
  </si>
  <si>
    <t>Please schedule an appointment so we cab discuss cholesterol levels</t>
  </si>
  <si>
    <t>Consider monitoring blood pressure at home using a battery-operated machine. Blood pressure should be checked twice daily for at least 4 days and ideally 7 days. If you are happy to do this, please let me know the results, and we can discuss further.</t>
  </si>
  <si>
    <t>Avoiding excessive consumption of salt, coffee and other caffeine-rich products can help lower blood pressure. Regular exercise usually really helps. Losing even a small amount of weight, when appropriate, can often have a big effect on blood pressure.</t>
  </si>
  <si>
    <t>LDL &gt;=3.4</t>
  </si>
  <si>
    <t>Consider whether diet or alcohol consumption might be raising cholesterol levels.</t>
  </si>
  <si>
    <t>Kidneys filter blood by removing waste and extra water to make urine. The glomerular filtration rate (GFR) shows how well the kidneys are filtering. Your kidney function tests were within the normal range and your GFR is , which is healthy.</t>
  </si>
  <si>
    <t>Kidneys filter blood by removing waste and extra water to make urine. The glomerular filtration rate (GFR) shows how well the kidneys are filtering. Your GFR is , which is a little below the normal range. This is something which should be discussed with your doctor, and follow up is usually necessary.</t>
  </si>
  <si>
    <t>Explanation-all</t>
  </si>
  <si>
    <t xml:space="preserve">low </t>
  </si>
  <si>
    <t>value B12</t>
  </si>
  <si>
    <t>value Folic acid</t>
  </si>
  <si>
    <t>value Vitamin D</t>
  </si>
  <si>
    <t>value Iron (Fe)</t>
  </si>
  <si>
    <t>value Ferritin</t>
  </si>
  <si>
    <t>value TIBC</t>
  </si>
  <si>
    <t>Value Vit D</t>
  </si>
  <si>
    <t>low ferritin, low iron</t>
  </si>
  <si>
    <t>Email</t>
  </si>
  <si>
    <t>Phone</t>
  </si>
  <si>
    <t>text to include</t>
  </si>
  <si>
    <t>no DM, HbA1c &lt;5.7%</t>
  </si>
  <si>
    <t>no DM, hbA1c&gt;5.7%</t>
  </si>
  <si>
    <t>no DM, HbA1c&gt;6.4%</t>
  </si>
  <si>
    <t>DM, HbA1c&lt;6.5%</t>
  </si>
  <si>
    <t>DM,HbA1c&gt;6.5%</t>
  </si>
  <si>
    <t>Your HbA1c is at a level that can suggest pre-diabetes. This is not the same as having diabetes, but it means that you may have an increased risk of developing diabetes in future. To maintain a healthy blood glucose level, it is helpful to exercise regularly; to eat a varied and balanced diet avoiding excess sugar, including in sweetened drinks and fruit juices. Diabetes is often linked with having some excess weight and in fact, if you are overweight, then losing around 7% of your bodyweight can reduce the chance of developing diabetes by over 50%. Because diabetes increases the risk of problems such as heart, eye and kidney disease, it is important to closely monitor HbA1c and this is something which should be discussed with your doctor.</t>
  </si>
  <si>
    <t>D-dimer</t>
  </si>
  <si>
    <t>Troponin</t>
  </si>
  <si>
    <t>negative?</t>
  </si>
  <si>
    <r>
      <t xml:space="preserve">The troponin-I test measures the levels of troponin-I proteins in the blood. These proteins are released when the heart muscle has been damaged, such as occurs with a heart attack.  Your test is </t>
    </r>
    <r>
      <rPr>
        <b/>
        <sz val="11"/>
        <color rgb="FF000000"/>
        <rFont val="Calibri"/>
        <family val="2"/>
        <scheme val="minor"/>
      </rPr>
      <t>negative</t>
    </r>
    <r>
      <rPr>
        <sz val="11"/>
        <color rgb="FF000000"/>
        <rFont val="Calibri"/>
        <family val="2"/>
        <scheme val="minor"/>
      </rPr>
      <t>, meaning no troponin-I was detected. This provides reassurance that no heart muscle damage has occurred.</t>
    </r>
  </si>
  <si>
    <t>A D-dimer blood test that can help determine if you may have a blood clotting condition. A high level of D-dimer can be seen with conditions such as deep vein thrombosis (DVT) and pulmonary embolism (PE). Your D-dimer test is negative, so symptoms are not likely to be due to blood clots</t>
  </si>
  <si>
    <t>display</t>
  </si>
  <si>
    <t>value TSH</t>
  </si>
  <si>
    <t>value Free T4</t>
  </si>
  <si>
    <t>value T3</t>
  </si>
  <si>
    <t>The prostate specific antigen (PSA) test is a blood test that can help diagnose prostate problems. It is normal for all men to have some PSA in their blood. PSA levels can be raised in a number of conditions, such as a urinary infection, an enlarged prostate, prostatitis or prostate cancer.</t>
  </si>
  <si>
    <t>Negative</t>
  </si>
  <si>
    <t>Positive</t>
  </si>
  <si>
    <t>On this occasion, your haemoglobin level is low, which suggests anaemia. There are many forms of anemia, with many possible causes.</t>
  </si>
  <si>
    <t>On this occasion, your haemoglobin level is low, which suggests anaemia. Having anemia can cause tiredness, weakness and shortness of breath. There are many forms of anaemia, with many possible causes. Anaemia can range from mild to severe, and can be a warning sign for some illness.This is something that we should discuss investigating further. Tests might include checking iron levels, and checking the gut. Treatments for anemia might involve taking supplements or having medical procedures. Eating a healthy diet might prevent some forms of anemia.</t>
  </si>
  <si>
    <t xml:space="preserve">I expect you are aware of the need to be careful with sun exposure while living in Qatar. This is particularly true for people with fair skin, who are at increased risk of sun damage to the skin including melanoma and non-melanoma skin cancers. </t>
  </si>
  <si>
    <t>To reduce these risks, it’s best to cover up with long clothing and a wide-brimmed hat, and avoid spending time in the sun when it is at its hottest between 10am and 2pm. In addition, a broad spectrum, high factor sunscreen should be applied 30 minutes before going out and again immediately before going out, and reapplied every two hours.</t>
  </si>
  <si>
    <t>Sunscreen should have a sun protection factor (SPF) of at least 30 to protect against UVB, and at least 4-star UVA protection. UVA protection can also be indicated by the letters UVA in a circle, which indicates that it meets the EU standard.</t>
  </si>
  <si>
    <t>PSA&lt;PSA_upper_limit</t>
  </si>
  <si>
    <t>PSA&gt;=PSA_upper_limit</t>
  </si>
  <si>
    <t>Your PSA is in the normal range for a man of your age. The lower a man's PSA level, the less likely it is that he has prostate cancer.</t>
  </si>
  <si>
    <t>PSA level tends to increase with age, prostate gland size, and inflammation or infection. A recent prostate biopsy will also increase the PSA level, as can ejaculation or vigorous exercise (such as cycling) in the 2 days before testing. On this occasion, your PSA is above the normal range for your age. Because a raised PSA can sometimes suggest an increased risk of prostate cancer, further action should be discussed with your doctor.</t>
  </si>
  <si>
    <t>Explain</t>
  </si>
  <si>
    <t>Please feel free to schedule a follow up appointment if you have any concerns, or if there are any aspects that you feel we should discuss in more detail.</t>
  </si>
  <si>
    <t>(recommendations)</t>
  </si>
  <si>
    <t>In summary, my main recommendations are:</t>
  </si>
  <si>
    <t>text to include:</t>
  </si>
  <si>
    <t>Recommendations to include</t>
  </si>
  <si>
    <t>A D-dimer blood test that can help determine if you may have a blood clotting condition. A high level of D-dimer can be seen with conditions such as deep vein thrombosis (DVT) and pulmonary embolism (PE). Your D-dimer test is positive, so further evaluation may be needed.</t>
  </si>
  <si>
    <t>positive?</t>
  </si>
  <si>
    <t>The troponin-I test measures the levels of troponin-I proteins in the blood. These proteins are released when the heart muscle has been damaged, such as occurs with a heart attack.  Your test is positive, meaning further evaluation may be required.</t>
  </si>
  <si>
    <t xml:space="preserve">Please can we discuss low haemaglobin level (anaemia) </t>
  </si>
  <si>
    <t>Please can we discuss low ferritin and iron levels.</t>
  </si>
  <si>
    <t>Please can we discuss the raised PSA level.</t>
  </si>
  <si>
    <t>Please can we discuss the positive faecal occult blood test.</t>
  </si>
  <si>
    <t>Please can we discuss the raised Thyroid Stimulating Hormome (TSH) level.</t>
  </si>
  <si>
    <t>We should keep HbA1c under review. As a minimum, this should be rececked in 6-12 months. Please can we discuss if any concerns.</t>
  </si>
  <si>
    <t>Please can we discuss the raised HbA1c level, which may indicate diabetes.</t>
  </si>
  <si>
    <t>The risk of bowel cancer can be reduced by regular exercise, keeping alcohol consumption within recommended limits, and eating a diet high in vegetables and keeping red and processed meat consumption low.</t>
  </si>
  <si>
    <t>A negative test provides some reassurance that the bowel is healthy. However it does not completely rule out bowel cancer. The key signs and symptoms of bowel cancer are blood in the stools, changes in bowel habit, and abdominal pain. If these symptoms develop, medical review is advisable even if you have taken part in screening recently.</t>
  </si>
  <si>
    <t>Your body produces white blood cells (leukocytes), which help fight bacterial infections. On this occasion, your white blood cell count is low. A slightly low white blood cell count is quite a common finding, and unlikely to be of clinical significance. A more significantly low white blood cell count can increase the risk of infections, and may be caused by a number of different diseases and conditions. I am happy to discussed further, if you wish.</t>
  </si>
  <si>
    <t>Clotting</t>
  </si>
  <si>
    <t>INR</t>
  </si>
  <si>
    <t>APTT</t>
  </si>
  <si>
    <t>Uric Acid</t>
  </si>
  <si>
    <t>Glomerular filtration rate (GFR)</t>
  </si>
  <si>
    <t>ml/min/1.77m2</t>
  </si>
  <si>
    <t>eGFR, serum</t>
  </si>
  <si>
    <t>Chlorides</t>
  </si>
  <si>
    <t>Total Protein - (TP)</t>
  </si>
  <si>
    <t xml:space="preserve"> g/L</t>
  </si>
  <si>
    <t>Albumin</t>
  </si>
  <si>
    <t>B12</t>
  </si>
  <si>
    <t>Folic acid</t>
  </si>
  <si>
    <t>Vitamin D</t>
  </si>
  <si>
    <t>Iron (Fe)</t>
  </si>
  <si>
    <t xml:space="preserve"> ug/dL</t>
  </si>
  <si>
    <t>Ferritin, serum</t>
  </si>
  <si>
    <t>ng/mL</t>
  </si>
  <si>
    <t>Total Iron Binding Capacity, serum</t>
  </si>
  <si>
    <t>mcg/dL</t>
  </si>
  <si>
    <t>25 Hydroxy (OH) Vitamin D, serum</t>
  </si>
  <si>
    <t>MCHC</t>
  </si>
  <si>
    <t>Prostate Specific Antigen (PSA Total)</t>
  </si>
  <si>
    <t xml:space="preserve"> ng/mL</t>
  </si>
  <si>
    <t>Ovary</t>
  </si>
  <si>
    <t>Ca125</t>
  </si>
  <si>
    <t>Total T4</t>
  </si>
  <si>
    <t>ng/dL</t>
  </si>
  <si>
    <t>Hormones</t>
  </si>
  <si>
    <t>Total Testosterone</t>
  </si>
  <si>
    <t>Inflammation</t>
  </si>
  <si>
    <t>C-Reactive Protein (CRP)</t>
  </si>
  <si>
    <t xml:space="preserve"> mg/L</t>
  </si>
  <si>
    <t>ESR</t>
  </si>
  <si>
    <t>Muscle</t>
  </si>
  <si>
    <t>Creatine Kinase (CK)</t>
  </si>
  <si>
    <t>Troponin-I (Rapid Test)</t>
  </si>
  <si>
    <t>mcg/ml</t>
  </si>
  <si>
    <t>Occult blood, stool</t>
  </si>
  <si>
    <t>Cardiac</t>
  </si>
  <si>
    <t>CV risk</t>
  </si>
  <si>
    <t>Qrisk3</t>
  </si>
  <si>
    <t>AHA cardiac risk score</t>
  </si>
  <si>
    <t>Zinc</t>
  </si>
  <si>
    <t>Magnesium</t>
  </si>
  <si>
    <t>T3</t>
  </si>
  <si>
    <t>Total Cholesterol</t>
  </si>
  <si>
    <t>HDL Cholesterol</t>
  </si>
  <si>
    <t>LDL Cholesterol</t>
  </si>
  <si>
    <t>Cholesterol/HDL-C</t>
  </si>
  <si>
    <t>LDL/HDL RATIO</t>
  </si>
  <si>
    <t>Fasting Glucose</t>
  </si>
  <si>
    <t>lik</t>
  </si>
  <si>
    <t xml:space="preserve">value Zinc </t>
  </si>
  <si>
    <t>value magnesium</t>
  </si>
  <si>
    <t>Your BMI is on the low side. A lower body mass index can be linked with a risk of osteoporosis and fractures, and can sometimes point to other medical conditions including as gastrointestinal malabsorption, thyroid problems, or eating disorders. I'd recommend further discussion and review of dietary intake.</t>
  </si>
  <si>
    <t>normal explanation: drinks alcohol</t>
  </si>
  <si>
    <t>normal explanation: does not drink alcohol</t>
  </si>
  <si>
    <t>The blood tests showed an elevation in one or more liver function tests. There can be several reasons for this. When people are carrying some extra weight, fat can be deposited in the liver and this can cause some liver strain. Alcohol can of course affect the liver too. If you drink alcohol, the Current UK recommendation is to drink no more than 14 units of alcohol a week, spread across 3 days or more. That's around 6 medium (175ml) glasses of wine, or 6 pints of 4% beer. There's no completely safe level of drinking, but sticking within these guidelines lowers the risk of harming your health.</t>
  </si>
  <si>
    <t>Please can we discuss the kidney fuinction tests, as further investigation or monitoring might be advisable</t>
  </si>
  <si>
    <t>The positiive Troponin result should be discussed immediately.</t>
  </si>
  <si>
    <t>Please discsuss positive D-Dimer result with your doctor. This should usually be done as soon as possible.</t>
  </si>
  <si>
    <t>raised ferritin, iron not raised</t>
  </si>
  <si>
    <t>raised iron</t>
  </si>
  <si>
    <t>Kidney</t>
  </si>
  <si>
    <t>FBC normal</t>
  </si>
  <si>
    <t>HB low, no iron or ferritin levels</t>
  </si>
  <si>
    <t>Hb low, iron or ferritin checked</t>
  </si>
  <si>
    <t>Iron is stored in the body as ferritin. Your ferritin levels are low, and so we should discuss this further please. We should consider the possible causes, and the best way to restore iron stores to normal. This often involves taking a supplement.</t>
  </si>
  <si>
    <t>Not known Diabetes, Fasting glucose high</t>
  </si>
  <si>
    <t>Your glucose level was above the normal fasted range on this occasion. This can be seen in conditions such as diabetes and pre-diabetes. If this is an unexpected finding, please can we discuss further.</t>
  </si>
  <si>
    <t>Iron is required to make haemaglobin,  which red blood cells use to carry oxygen from your lungs to the rest of your body. Ferritin levels reflect the iron stores available to your body. Your iron and ferritin levels are both low, and so we should discuss this further please. We should consider the possible causes, and the best way to restore iron levels to normal. This often involves taking a supplement.</t>
  </si>
  <si>
    <t>A normal BMI is usually best achieved through a long term commitment to  a healthy diet and a lifestyle incorporating regular exercise. People sometimes ask how much exercise is enough? Current UK guidelines suggest doing at least 150 minutes of moderate intensity activity per week, or at least 75 minutes of vigorous activity, or a mixture of both, with strengthening activities on at least two days.</t>
  </si>
  <si>
    <t xml:space="preserve">Your BMI is perhaps just a little above the very optimal range for health. This is not unusual, in fact fewer than half of all adults have an optimal BMI. However a BMI of 25 or less is associated with a lower risk of medical conditions like diabetes and high blood pressure. </t>
  </si>
  <si>
    <t>Prostate Specific Antigen, (PSA Free)</t>
  </si>
  <si>
    <t>Prothrombin Time</t>
  </si>
  <si>
    <t>Creatine Kinase (CK-MB)</t>
  </si>
  <si>
    <t>Calcium</t>
  </si>
  <si>
    <t>Homocysteine</t>
  </si>
  <si>
    <t>Glucose-G (Random)</t>
  </si>
  <si>
    <t>mg/dL</t>
  </si>
  <si>
    <t>Lactate Dehydrogenase -(LDH)</t>
  </si>
  <si>
    <t>U/L</t>
  </si>
  <si>
    <t>Bicarbonate, serum</t>
  </si>
  <si>
    <t>mmol/L</t>
  </si>
  <si>
    <t>Transferrin</t>
  </si>
  <si>
    <t>g/L</t>
  </si>
  <si>
    <t>Globulin</t>
  </si>
  <si>
    <t>Immunoglobulin-IgA</t>
  </si>
  <si>
    <t>Phosphorus</t>
  </si>
  <si>
    <t>Immunology</t>
  </si>
  <si>
    <t xml:space="preserve">Tissue Transglutaminase TTG IgA </t>
  </si>
  <si>
    <t>U/ml</t>
  </si>
  <si>
    <t>Immunoglobulin-IgG</t>
  </si>
  <si>
    <t>Immunoglobulin-IgM</t>
  </si>
  <si>
    <t>Total IgE</t>
  </si>
  <si>
    <t>KUI/L</t>
  </si>
  <si>
    <t>Beta HCG</t>
  </si>
  <si>
    <t>miU/ml</t>
  </si>
  <si>
    <t>The blood tests did not identify any increased risk of liver disease. Alcohol can of course affect the liver, and to maintain a healthy liver it is recommended to drink no more than 14 units of alcohol a week, spread across 3 days or more. That's around 6 medium (175ml) glasses of wine, or 6 pints of 4% beer. There's no completely safe level of drinking, but sticking within these guidelines lowers the risk of harming your health.</t>
  </si>
  <si>
    <t>Your thyroid function tests are normal, suggesting that the thyroid gland is working normally.</t>
  </si>
  <si>
    <t>TSH normal and other TFTs normal or not done</t>
  </si>
  <si>
    <t>Please can we discuss the thyroid function tests.</t>
  </si>
  <si>
    <t>On this occasion, there were some abnormalities in your Thyroid function tests.</t>
  </si>
  <si>
    <t>value Total T4</t>
  </si>
  <si>
    <t>Androgens</t>
  </si>
  <si>
    <t>Testosterone normal</t>
  </si>
  <si>
    <t>Testosterone low</t>
  </si>
  <si>
    <t>Testosterone high</t>
  </si>
  <si>
    <t>Male hormones</t>
  </si>
  <si>
    <t>Testosterone</t>
  </si>
  <si>
    <t>Your testosterone level is within the normal range.</t>
  </si>
  <si>
    <t>On this occasion, your testosterone level is low. Low testosterone, also known as hypogonadism, can result in symptoms such as fatigue, reduced muscle mass, decreased libido, and mood changes. This can sometimes be related to aging, certain medical conditions, or lifestyle factors.</t>
  </si>
  <si>
    <t>On this occasions, your testosterone levels are raised. Having testosterone levels above the upper limit of the normal range can be a concern. High testosterone levels can lead to issues like increased aggression, mood swings, and potential health risks. Causes of elevated testosterone can include certain medical conditions, anabolic steroid use, or very rarely tumors affecting the hormonal balance.</t>
  </si>
  <si>
    <t>If necessary, there are various treatment options available to address imbalances in testosterone levels. These may include lifestyle changes, testosterone therapy, or addressing any underlying medical conditions. The goal is to optimize your testosterone levels for your overall health and well-being.</t>
  </si>
  <si>
    <t>Please can we discuss the raised testosterone levels.</t>
  </si>
  <si>
    <t>Free Testosterone</t>
  </si>
  <si>
    <t>The thyroid gland, located in your neck, produces hormones that play a crucial role in regulating various functions in your body, including metabolism, energy levels, and temperature. Measuring thyroid hormones can tell if you have conditions like hypothyroidism (underactive thyroid) or hyperthyroidism (overactive thyroid).</t>
  </si>
  <si>
    <t>TFT abnormal other than isolated high TSH</t>
  </si>
  <si>
    <t>Vitamin D low</t>
  </si>
  <si>
    <t>On this occasion your Vitamin D levels are lower than normal. Vitamin D is needed for bone health, and also plays a role in muscle function, mood regulation, and overall well-being. Vitamin D levels are linked to sunlight exposure, dietary intake of vitamin D-rich foods such as dairy products and oily fish. Low levels can sometimes also be seen with malabsorption issues and with certain medicines.</t>
  </si>
  <si>
    <t>Please can we discuss low vitamin D levels. One option would be to take a course of vitamin D supplement. To treat vitamin D deficiency, it is sometimes recommended to take a a high dose for about 6 weeks, followed by a lower maintenance dose.</t>
  </si>
  <si>
    <t>low ferritin but not low iron</t>
  </si>
  <si>
    <t>Please can we discuss low ferritin levels.</t>
  </si>
  <si>
    <t>For adult males, total testosterone levels typically fall within a specific range. This is usually between 300 to 1,000 ng/dL (or 10 to 35 nmol/L), but this can vary slightly between laboratories. What may be considered 'normal' can also vary based on factors like age and individual health. Within this range, your body functions optimally, supporting things like muscle development, bone density, and sexual function."</t>
  </si>
  <si>
    <t>value testosterone</t>
  </si>
  <si>
    <t>Heart</t>
  </si>
  <si>
    <t>AHA?</t>
  </si>
  <si>
    <t>Examination free text</t>
  </si>
  <si>
    <t>https://www.kidney.org/content/ckd-epi-creatinine-equation-2021</t>
  </si>
  <si>
    <t>κ = 0.7 (females) or 0.9 (males)</t>
  </si>
  <si>
    <t>α = -0.241 (female) or -0.302 (male)</t>
  </si>
  <si>
    <t>Age (years)</t>
  </si>
  <si>
    <t>CKD-EPI Creatinine Equation (2021)</t>
  </si>
  <si>
    <t>Expressed as a single equation:</t>
  </si>
  <si>
    <t>where:</t>
  </si>
  <si>
    <r>
      <t>S</t>
    </r>
    <r>
      <rPr>
        <sz val="9"/>
        <color theme="1"/>
        <rFont val="Calibri"/>
        <family val="2"/>
        <scheme val="minor"/>
      </rPr>
      <t>cr</t>
    </r>
    <r>
      <rPr>
        <sz val="12"/>
        <color theme="1"/>
        <rFont val="Calibri"/>
        <family val="2"/>
        <scheme val="minor"/>
      </rPr>
      <t> = standardized serum creatinine in mg/dL</t>
    </r>
  </si>
  <si>
    <r>
      <t>min(S</t>
    </r>
    <r>
      <rPr>
        <sz val="9"/>
        <color theme="1"/>
        <rFont val="Calibri"/>
        <family val="2"/>
        <scheme val="minor"/>
      </rPr>
      <t>cr</t>
    </r>
    <r>
      <rPr>
        <sz val="12"/>
        <color theme="1"/>
        <rFont val="Calibri"/>
        <family val="2"/>
        <scheme val="minor"/>
      </rPr>
      <t>/κ, 1) is the minimum of S</t>
    </r>
    <r>
      <rPr>
        <sz val="9"/>
        <color theme="1"/>
        <rFont val="Calibri"/>
        <family val="2"/>
        <scheme val="minor"/>
      </rPr>
      <t>cr</t>
    </r>
    <r>
      <rPr>
        <sz val="12"/>
        <color theme="1"/>
        <rFont val="Calibri"/>
        <family val="2"/>
        <scheme val="minor"/>
      </rPr>
      <t>/κ or 1.0</t>
    </r>
  </si>
  <si>
    <r>
      <t>max(S</t>
    </r>
    <r>
      <rPr>
        <sz val="9"/>
        <color theme="1"/>
        <rFont val="Calibri"/>
        <family val="2"/>
        <scheme val="minor"/>
      </rPr>
      <t>cr</t>
    </r>
    <r>
      <rPr>
        <sz val="12"/>
        <color theme="1"/>
        <rFont val="Calibri"/>
        <family val="2"/>
        <scheme val="minor"/>
      </rPr>
      <t>/κ, 1) is the maximum of S</t>
    </r>
    <r>
      <rPr>
        <sz val="9"/>
        <color theme="1"/>
        <rFont val="Calibri"/>
        <family val="2"/>
        <scheme val="minor"/>
      </rPr>
      <t>cr</t>
    </r>
    <r>
      <rPr>
        <sz val="12"/>
        <color theme="1"/>
        <rFont val="Calibri"/>
        <family val="2"/>
        <scheme val="minor"/>
      </rPr>
      <t>/κ or 1.0</t>
    </r>
  </si>
  <si>
    <r>
      <t>eGFR</t>
    </r>
    <r>
      <rPr>
        <sz val="9"/>
        <color theme="1"/>
        <rFont val="Calibri"/>
        <family val="2"/>
        <scheme val="minor"/>
      </rPr>
      <t>cr</t>
    </r>
    <r>
      <rPr>
        <sz val="12"/>
        <color theme="1"/>
        <rFont val="Calibri"/>
        <family val="2"/>
        <scheme val="minor"/>
      </rPr>
      <t> = 142 x min(S</t>
    </r>
    <r>
      <rPr>
        <sz val="9"/>
        <color theme="1"/>
        <rFont val="Calibri"/>
        <family val="2"/>
        <scheme val="minor"/>
      </rPr>
      <t>cr</t>
    </r>
    <r>
      <rPr>
        <sz val="12"/>
        <color theme="1"/>
        <rFont val="Calibri"/>
        <family val="2"/>
        <scheme val="minor"/>
      </rPr>
      <t>/κ, 1)^</t>
    </r>
    <r>
      <rPr>
        <sz val="9"/>
        <color theme="1"/>
        <rFont val="Calibri"/>
        <family val="2"/>
        <scheme val="minor"/>
      </rPr>
      <t>α</t>
    </r>
    <r>
      <rPr>
        <sz val="12"/>
        <color theme="1"/>
        <rFont val="Calibri"/>
        <family val="2"/>
        <scheme val="minor"/>
      </rPr>
      <t> x max(S</t>
    </r>
    <r>
      <rPr>
        <sz val="9"/>
        <color theme="1"/>
        <rFont val="Calibri"/>
        <family val="2"/>
        <scheme val="minor"/>
      </rPr>
      <t>cr</t>
    </r>
    <r>
      <rPr>
        <sz val="12"/>
        <color theme="1"/>
        <rFont val="Calibri"/>
        <family val="2"/>
        <scheme val="minor"/>
      </rPr>
      <t>/κ, 1)^</t>
    </r>
    <r>
      <rPr>
        <sz val="9"/>
        <color theme="1"/>
        <rFont val="Calibri"/>
        <family val="2"/>
        <scheme val="minor"/>
      </rPr>
      <t>-1.200</t>
    </r>
    <r>
      <rPr>
        <sz val="12"/>
        <color theme="1"/>
        <rFont val="Calibri"/>
        <family val="2"/>
        <scheme val="minor"/>
      </rPr>
      <t> x 0.9938^</t>
    </r>
    <r>
      <rPr>
        <sz val="9"/>
        <color theme="1"/>
        <rFont val="Calibri"/>
        <family val="2"/>
        <scheme val="minor"/>
      </rPr>
      <t>Age</t>
    </r>
    <r>
      <rPr>
        <sz val="12"/>
        <color theme="1"/>
        <rFont val="Calibri"/>
        <family val="2"/>
        <scheme val="minor"/>
      </rPr>
      <t> x 1.012 [if female]</t>
    </r>
  </si>
  <si>
    <t>Patient name:</t>
  </si>
  <si>
    <t>Sex:</t>
  </si>
  <si>
    <t>k:</t>
  </si>
  <si>
    <t>alpha:</t>
  </si>
  <si>
    <t>Scr:</t>
  </si>
  <si>
    <t>Age:</t>
  </si>
  <si>
    <t>eFGRcr =</t>
  </si>
  <si>
    <t>Sex multiplier:</t>
  </si>
  <si>
    <t>see separate sheet for CKD-EPI Creatinine Equation (2021)</t>
  </si>
  <si>
    <t>Your lipid profile is good. Both the HDL and LDL are in the optimal range. This probably reflects your healthy diet and lifestyle. This is important in preventing the build up pf deposits called atheroma on artery walls, and reduces the risk of developing heart disease in the future.</t>
  </si>
  <si>
    <t>The 10-year cardiac risk AHA score, also known as the AHA/ACC (American Heart Association/American College of Cardiology) cardiovascular risk calculator, is a tool used to estimate an individual's risk of developing a cardiovascular event, such as a heart attack or stroke, within the next decade. It's based on various factors that contribute to cardiovascular health, including age, gender, blood pressure, cholesterol levels, smoking status, and whether the person has diabetes.</t>
  </si>
  <si>
    <t>Your 10 year cardiac risk score is x%, which is considered low risk. It is worth noting that if all risk factors were optimised, this score could be as low as y%.</t>
  </si>
  <si>
    <t>inputs</t>
  </si>
  <si>
    <t>Explanation-indivdual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</si>
</sst>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809]d\ mmmm\ yyyy;@"/>
    <numFmt numFmtId="165" formatCode="[$-809]dd\ mmmm\ yyyy;@"/>
    <numFmt numFmtId="166" formatCode="0.0"/>
  </numFmts>
  <fonts count="21" x14ac:knownFonts="1">
    <font>
      <sz val="11"/>
      <color theme="1"/>
      <name val="Calibri"/>
      <family val="2"/>
      <scheme val="minor"/>
    </font>
    <font>
      <b/>
      <sz val="11"/>
      <color theme="1"/>
      <name val="Calibri"/>
      <family val="2"/>
      <scheme val="minor"/>
    </font>
    <font>
      <sz val="8"/>
      <name val="Calibri"/>
      <family val="2"/>
      <scheme val="minor"/>
    </font>
    <font>
      <u/>
      <sz val="11"/>
      <color theme="10"/>
      <name val="Calibri"/>
      <family val="2"/>
      <scheme val="minor"/>
    </font>
    <font>
      <b/>
      <sz val="16"/>
      <color theme="1"/>
      <name val="Calibri"/>
      <family val="2"/>
      <scheme val="minor"/>
    </font>
    <font>
      <sz val="11"/>
      <color rgb="FF000000"/>
      <name val="Calibri"/>
      <family val="2"/>
    </font>
    <font>
      <sz val="10"/>
      <name val="Arial"/>
      <family val="2"/>
    </font>
    <font>
      <sz val="11"/>
      <name val="Calibri"/>
      <family val="2"/>
      <scheme val="minor"/>
    </font>
    <font>
      <i/>
      <sz val="11"/>
      <color theme="1"/>
      <name val="Calibri"/>
      <family val="2"/>
      <scheme val="minor"/>
    </font>
    <font>
      <sz val="11"/>
      <color rgb="FF202124"/>
      <name val="Calibri"/>
      <family val="2"/>
    </font>
    <font>
      <sz val="11"/>
      <name val="Calibri"/>
      <family val="2"/>
    </font>
    <font>
      <sz val="16"/>
      <color theme="1"/>
      <name val="Calibri"/>
      <family val="2"/>
      <scheme val="minor"/>
    </font>
    <font>
      <i/>
      <sz val="11"/>
      <name val="Calibri"/>
      <family val="2"/>
      <scheme val="minor"/>
    </font>
    <font>
      <sz val="11"/>
      <color rgb="FF000000"/>
      <name val="Calibri"/>
      <family val="2"/>
      <scheme val="minor"/>
    </font>
    <font>
      <b/>
      <sz val="11"/>
      <color rgb="FF000000"/>
      <name val="Calibri"/>
      <family val="2"/>
      <scheme val="minor"/>
    </font>
    <font>
      <sz val="12"/>
      <color rgb="FF201E1E"/>
      <name val="Arial"/>
      <family val="2"/>
    </font>
    <font>
      <sz val="12"/>
      <color theme="1"/>
      <name val="Calibri"/>
      <family val="2"/>
      <scheme val="minor"/>
    </font>
    <font>
      <b/>
      <sz val="27"/>
      <color rgb="FF413D3D"/>
      <name val="Calibri"/>
      <family val="2"/>
      <scheme val="minor"/>
    </font>
    <font>
      <sz val="9"/>
      <color theme="1"/>
      <name val="Calibri"/>
      <family val="2"/>
      <scheme val="minor"/>
    </font>
    <font>
      <b/>
      <sz val="12"/>
      <color theme="1"/>
      <name val="Calibri"/>
      <family val="2"/>
      <scheme val="minor"/>
    </font>
    <font>
      <b/>
      <sz val="12"/>
      <color rgb="FF413D3D"/>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bgColor indexed="64"/>
      </patternFill>
    </fill>
  </fills>
  <borders count="2">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70">
    <xf numFmtId="0" fontId="0" fillId="0" borderId="0" xfId="0"/>
    <xf numFmtId="0" fontId="0" fillId="2" borderId="0" xfId="0" applyFill="1"/>
    <xf numFmtId="0" fontId="1" fillId="0" borderId="0" xfId="0" applyFont="1"/>
    <xf numFmtId="164" fontId="0" fillId="2" borderId="0" xfId="0" applyNumberFormat="1" applyFill="1" applyAlignment="1">
      <alignment horizontal="left"/>
    </xf>
    <xf numFmtId="164" fontId="0" fillId="0" borderId="0" xfId="0" applyNumberFormat="1"/>
    <xf numFmtId="0" fontId="0" fillId="3" borderId="0" xfId="0" applyFill="1"/>
    <xf numFmtId="0" fontId="0" fillId="0" borderId="0" xfId="0" quotePrefix="1"/>
    <xf numFmtId="10" fontId="0" fillId="0" borderId="0" xfId="0" applyNumberFormat="1"/>
    <xf numFmtId="0" fontId="0" fillId="0" borderId="0" xfId="0" applyAlignment="1">
      <alignment horizontal="right"/>
    </xf>
    <xf numFmtId="0" fontId="1" fillId="0" borderId="0" xfId="0" applyFont="1" applyAlignment="1">
      <alignment horizontal="right"/>
    </xf>
    <xf numFmtId="0" fontId="0" fillId="0" borderId="0" xfId="0" applyAlignment="1">
      <alignment horizontal="left"/>
    </xf>
    <xf numFmtId="0" fontId="3" fillId="0" borderId="0" xfId="1"/>
    <xf numFmtId="0" fontId="4" fillId="0" borderId="0" xfId="0" applyFont="1"/>
    <xf numFmtId="165" fontId="0" fillId="2" borderId="0" xfId="0" applyNumberFormat="1" applyFill="1" applyAlignment="1">
      <alignment horizontal="left"/>
    </xf>
    <xf numFmtId="0" fontId="6" fillId="0" borderId="0" xfId="0" applyFont="1"/>
    <xf numFmtId="0" fontId="7" fillId="0" borderId="0" xfId="0" applyFont="1"/>
    <xf numFmtId="1" fontId="0" fillId="2" borderId="0" xfId="0" applyNumberFormat="1" applyFill="1" applyAlignment="1">
      <alignment horizontal="left"/>
    </xf>
    <xf numFmtId="1" fontId="0" fillId="0" borderId="0" xfId="0" applyNumberFormat="1"/>
    <xf numFmtId="166" fontId="0" fillId="0" borderId="0" xfId="0" applyNumberFormat="1"/>
    <xf numFmtId="0" fontId="0" fillId="2" borderId="0" xfId="0" applyFill="1" applyAlignment="1">
      <alignment horizontal="left"/>
    </xf>
    <xf numFmtId="0" fontId="1" fillId="2" borderId="0" xfId="0" applyFont="1" applyFill="1" applyAlignment="1">
      <alignment horizontal="right"/>
    </xf>
    <xf numFmtId="0" fontId="1" fillId="2" borderId="0" xfId="0" applyFont="1" applyFill="1"/>
    <xf numFmtId="0" fontId="1" fillId="2" borderId="0" xfId="0" applyFont="1" applyFill="1" applyAlignment="1">
      <alignment horizontal="left"/>
    </xf>
    <xf numFmtId="0" fontId="1" fillId="0" borderId="0" xfId="0" applyFont="1" applyAlignment="1">
      <alignment horizontal="left"/>
    </xf>
    <xf numFmtId="0" fontId="7" fillId="2" borderId="0" xfId="0" applyFont="1" applyFill="1"/>
    <xf numFmtId="164" fontId="0" fillId="0" borderId="0" xfId="0" applyNumberFormat="1" applyAlignment="1">
      <alignment horizontal="left"/>
    </xf>
    <xf numFmtId="0" fontId="0" fillId="0" borderId="1" xfId="0" applyBorder="1"/>
    <xf numFmtId="0" fontId="11"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4" borderId="0" xfId="0" applyFill="1" applyAlignment="1">
      <alignment vertical="top"/>
    </xf>
    <xf numFmtId="0" fontId="0" fillId="4" borderId="0" xfId="0" applyFill="1" applyAlignment="1">
      <alignment vertical="top" wrapText="1"/>
    </xf>
    <xf numFmtId="0" fontId="9" fillId="0" borderId="0" xfId="0" applyFont="1" applyAlignment="1">
      <alignment vertical="top" wrapText="1"/>
    </xf>
    <xf numFmtId="0" fontId="10" fillId="0" borderId="0" xfId="0" applyFont="1" applyAlignment="1">
      <alignment vertical="top" wrapText="1"/>
    </xf>
    <xf numFmtId="0" fontId="7" fillId="0" borderId="0" xfId="0" applyFont="1" applyAlignment="1">
      <alignment vertical="top" wrapText="1"/>
    </xf>
    <xf numFmtId="0" fontId="1" fillId="0" borderId="0" xfId="0" applyFont="1" applyAlignment="1">
      <alignment vertical="top"/>
    </xf>
    <xf numFmtId="0" fontId="8" fillId="0" borderId="0" xfId="0" applyFont="1" applyAlignment="1">
      <alignment vertical="top"/>
    </xf>
    <xf numFmtId="0" fontId="8" fillId="0" borderId="0" xfId="0" applyFont="1" applyAlignment="1">
      <alignment vertical="top" wrapText="1"/>
    </xf>
    <xf numFmtId="0" fontId="1" fillId="4" borderId="0" xfId="0" applyFont="1" applyFill="1" applyAlignment="1">
      <alignment vertical="top"/>
    </xf>
    <xf numFmtId="0" fontId="1" fillId="4" borderId="0" xfId="0" applyFont="1" applyFill="1" applyAlignment="1">
      <alignment vertical="top" wrapText="1"/>
    </xf>
    <xf numFmtId="0" fontId="0" fillId="2" borderId="0" xfId="0" applyFill="1" applyAlignment="1">
      <alignment vertical="top" wrapText="1"/>
    </xf>
    <xf numFmtId="0" fontId="8" fillId="0" borderId="0" xfId="0" applyFont="1"/>
    <xf numFmtId="0" fontId="12" fillId="0" borderId="0" xfId="0" applyFont="1"/>
    <xf numFmtId="0" fontId="0" fillId="0" borderId="0" xfId="0" quotePrefix="1" applyAlignment="1">
      <alignment vertical="top" wrapText="1"/>
    </xf>
    <xf numFmtId="0" fontId="13" fillId="0" borderId="0" xfId="0" applyFont="1" applyAlignment="1">
      <alignment vertical="center" wrapText="1"/>
    </xf>
    <xf numFmtId="0" fontId="0" fillId="2" borderId="0" xfId="0" applyFill="1" applyAlignment="1">
      <alignment wrapText="1"/>
    </xf>
    <xf numFmtId="0" fontId="0" fillId="0" borderId="0" xfId="0" applyAlignment="1">
      <alignment wrapText="1"/>
    </xf>
    <xf numFmtId="0" fontId="10" fillId="0" borderId="0" xfId="0" applyFont="1" applyAlignment="1">
      <alignment vertical="center" wrapText="1"/>
    </xf>
    <xf numFmtId="0" fontId="1" fillId="4" borderId="0" xfId="0" applyFont="1" applyFill="1"/>
    <xf numFmtId="0" fontId="0" fillId="2" borderId="0" xfId="0" applyFill="1" applyAlignment="1">
      <alignment vertical="top"/>
    </xf>
    <xf numFmtId="0" fontId="8" fillId="2" borderId="0" xfId="0" applyFont="1" applyFill="1" applyAlignment="1">
      <alignment vertical="top"/>
    </xf>
    <xf numFmtId="0" fontId="8" fillId="2" borderId="0" xfId="0" applyFont="1" applyFill="1"/>
    <xf numFmtId="0" fontId="0" fillId="0" borderId="0" xfId="0" applyAlignment="1">
      <alignment vertical="center" wrapText="1"/>
    </xf>
    <xf numFmtId="0" fontId="0" fillId="5" borderId="0" xfId="0" applyFill="1" applyAlignment="1">
      <alignment vertical="top"/>
    </xf>
    <xf numFmtId="0" fontId="0" fillId="5" borderId="0" xfId="0" applyFill="1" applyAlignment="1">
      <alignment vertical="top" wrapText="1"/>
    </xf>
    <xf numFmtId="0" fontId="1" fillId="5" borderId="0" xfId="0" applyFont="1" applyFill="1" applyAlignment="1">
      <alignment vertical="top"/>
    </xf>
    <xf numFmtId="0" fontId="4" fillId="6" borderId="0" xfId="0" applyFont="1" applyFill="1" applyAlignment="1">
      <alignment vertical="top"/>
    </xf>
    <xf numFmtId="0" fontId="0" fillId="6" borderId="0" xfId="0" applyFill="1" applyAlignment="1">
      <alignment vertical="top" wrapText="1"/>
    </xf>
    <xf numFmtId="0" fontId="0" fillId="6" borderId="0" xfId="0" applyFill="1" applyAlignment="1">
      <alignment vertical="top"/>
    </xf>
    <xf numFmtId="0" fontId="0" fillId="6" borderId="0" xfId="0" applyFill="1"/>
    <xf numFmtId="0" fontId="8" fillId="2" borderId="0" xfId="0" applyFont="1" applyFill="1" applyAlignment="1">
      <alignment vertical="top" wrapText="1"/>
    </xf>
    <xf numFmtId="0" fontId="3" fillId="0" borderId="0" xfId="1" applyAlignment="1">
      <alignment vertical="top" wrapText="1"/>
    </xf>
    <xf numFmtId="0" fontId="15" fillId="0" borderId="0" xfId="0" applyFont="1"/>
    <xf numFmtId="0" fontId="0" fillId="0" borderId="0" xfId="0" applyAlignment="1">
      <alignment vertical="center"/>
    </xf>
    <xf numFmtId="0" fontId="17" fillId="0" borderId="0" xfId="0" applyFont="1" applyAlignment="1">
      <alignment vertical="center"/>
    </xf>
    <xf numFmtId="0" fontId="16" fillId="0" borderId="0" xfId="0" applyFont="1" applyAlignment="1">
      <alignment vertical="center"/>
    </xf>
    <xf numFmtId="0" fontId="19" fillId="0" borderId="0" xfId="0" applyFont="1" applyAlignment="1">
      <alignment vertical="center"/>
    </xf>
    <xf numFmtId="0" fontId="0" fillId="4" borderId="0" xfId="0" applyFill="1"/>
    <xf numFmtId="0" fontId="20" fillId="0" borderId="0" xfId="0" applyFont="1" applyAlignment="1">
      <alignment vertical="center"/>
    </xf>
    <xf numFmtId="0" fontId="0" fillId="2" borderId="0" xfId="0" applyFont="1" applyFill="1" applyAlignment="1">
      <alignment vertical="top"/>
    </xf>
  </cellXfs>
  <cellStyles count="2">
    <cellStyle name="Hyperlink" xfId="1" builtinId="8"/>
    <cellStyle name="Normal" xfId="0" builtinId="0"/>
  </cellStyles>
  <dxfs count="24">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476250</xdr:colOff>
          <xdr:row>48</xdr:row>
          <xdr:rowOff>0</xdr:rowOff>
        </xdr:from>
        <xdr:to>
          <xdr:col>7</xdr:col>
          <xdr:colOff>847725</xdr:colOff>
          <xdr:row>50</xdr:row>
          <xdr:rowOff>133350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Urine NAD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18</xdr:row>
          <xdr:rowOff>28575</xdr:rowOff>
        </xdr:from>
        <xdr:to>
          <xdr:col>7</xdr:col>
          <xdr:colOff>866775</xdr:colOff>
          <xdr:row>20</xdr:row>
          <xdr:rowOff>123825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History 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466725</xdr:colOff>
          <xdr:row>4</xdr:row>
          <xdr:rowOff>28575</xdr:rowOff>
        </xdr:from>
        <xdr:to>
          <xdr:col>7</xdr:col>
          <xdr:colOff>847725</xdr:colOff>
          <xdr:row>6</xdr:row>
          <xdr:rowOff>95250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33</xdr:row>
          <xdr:rowOff>171450</xdr:rowOff>
        </xdr:from>
        <xdr:to>
          <xdr:col>8</xdr:col>
          <xdr:colOff>47625</xdr:colOff>
          <xdr:row>36</xdr:row>
          <xdr:rowOff>114300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Examination normal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ck%20Berry/Dropbox/Apps/TIMC/System%20files/backups/HStemplate%2016oct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Text"/>
      <sheetName val="Recommendations (2)"/>
      <sheetName val="Recommendations"/>
      <sheetName val="Bloods"/>
      <sheetName val="Evidence"/>
      <sheetName val="DropDownLists"/>
      <sheetName val="Calculations"/>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4:B8" totalsRowShown="0">
  <autoFilter ref="B4:B8" xr:uid="{00000000-0009-0000-0100-000001000000}"/>
  <tableColumns count="1">
    <tableColumn id="1" xr3:uid="{00000000-0010-0000-0000-000001000000}" name="Reason for Medic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B10:B12" totalsRowShown="0">
  <autoFilter ref="B10:B12" xr:uid="{00000000-0009-0000-0100-000003000000}"/>
  <tableColumns count="1">
    <tableColumn id="1" xr3:uid="{00000000-0010-0000-0100-000001000000}" name="Med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7" displayName="Table7" ref="B14:B16" totalsRowShown="0" headerRowDxfId="23" dataDxfId="22">
  <autoFilter ref="B14:B16" xr:uid="{00000000-0009-0000-0100-000007000000}"/>
  <tableColumns count="1">
    <tableColumn id="1" xr3:uid="{00000000-0010-0000-0200-000001000000}" name="Allergies" dataDxfId="2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9" displayName="Table9" ref="B18:B23" totalsRowShown="0" headerRowDxfId="20" dataDxfId="19">
  <autoFilter ref="B18:B23" xr:uid="{00000000-0009-0000-0100-000009000000}"/>
  <tableColumns count="1">
    <tableColumn id="1" xr3:uid="{00000000-0010-0000-0300-000001000000}" name="Smoking" dataDxfId="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4000000}" name="Table11" displayName="Table11" ref="B25:B28" totalsRowShown="0" headerRowDxfId="17" dataDxfId="16">
  <autoFilter ref="B25:B28" xr:uid="{00000000-0009-0000-0100-00000B000000}"/>
  <tableColumns count="1">
    <tableColumn id="1" xr3:uid="{00000000-0010-0000-0400-000001000000}" name="Alcohol" dataDxfId="1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Table13" displayName="Table13" ref="B30:B35" totalsRowShown="0" headerRowDxfId="14" dataDxfId="13">
  <autoFilter ref="B30:B35" xr:uid="{00000000-0009-0000-0100-00000D000000}"/>
  <tableColumns count="1">
    <tableColumn id="1" xr3:uid="{00000000-0010-0000-0500-000001000000}" name="Exercise" dataDxfId="1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Table14" displayName="Table14" ref="B37:B39" totalsRowShown="0" headerRowDxfId="11" dataDxfId="10">
  <autoFilter ref="B37:B39" xr:uid="{00000000-0009-0000-0100-00000E000000}"/>
  <tableColumns count="1">
    <tableColumn id="1" xr3:uid="{00000000-0010-0000-0600-000001000000}" name="Examination findings" dataDxfId="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able2" displayName="Table2" ref="B46:B48" totalsRowShown="0" headerRowDxfId="8" dataDxfId="7">
  <autoFilter ref="B46:B48" xr:uid="{00000000-0009-0000-0100-000002000000}"/>
  <tableColumns count="1">
    <tableColumn id="1" xr3:uid="{00000000-0010-0000-0700-000001000000}" name="Screening Questions" dataDxfId="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8000000}" name="Table25" displayName="Table25" ref="B50:B57" totalsRowShown="0" headerRowDxfId="5" dataDxfId="4">
  <autoFilter ref="B50:B57" xr:uid="{00000000-0009-0000-0100-000004000000}"/>
  <tableColumns count="1">
    <tableColumn id="1" xr3:uid="{00000000-0010-0000-0800-000001000000}" name="Urine" dataDxfId="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9000000}" name="Table5" displayName="Table5" ref="B59:B63" totalsRowShown="0">
  <autoFilter ref="B59:B63" xr:uid="{00000000-0009-0000-0100-000005000000}"/>
  <tableColumns count="1">
    <tableColumn id="1" xr3:uid="{00000000-0010-0000-0900-000001000000}" name="Diabet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Table6" displayName="Table6" ref="B65:B67" totalsRowShown="0">
  <autoFilter ref="B65:B67" xr:uid="{00000000-0009-0000-0100-000006000000}"/>
  <tableColumns count="1">
    <tableColumn id="1" xr3:uid="{00000000-0010-0000-0A00-000001000000}" name="On meds for hypertens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B000000}" name="Table8" displayName="Table8" ref="B69:B71" totalsRowShown="0">
  <autoFilter ref="B69:B71" xr:uid="{00000000-0009-0000-0100-000008000000}"/>
  <tableColumns count="1">
    <tableColumn id="1" xr3:uid="{00000000-0010-0000-0B00-000001000000}" name="On meds for high cholesterol?"/>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le10" displayName="Table10" ref="B73:B76" totalsRowShown="0">
  <autoFilter ref="B73:B76" xr:uid="{00000000-0009-0000-0100-00000A000000}"/>
  <tableColumns count="1">
    <tableColumn id="1" xr3:uid="{00000000-0010-0000-0C00-000001000000}" name="ECG"/>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Table1413" displayName="Table1413" ref="B41:B44" totalsRowShown="0" headerRowDxfId="2" dataDxfId="1">
  <autoFilter ref="B41:B44" xr:uid="{00000000-0009-0000-0100-00000C000000}"/>
  <tableColumns count="1">
    <tableColumn id="1" xr3:uid="{00000000-0010-0000-0D00-000001000000}" name="Skin exam"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hyperlink" Target="https://www.ahajournals.org/doi/10.1161/CIRCULATIONAHA.121.054602" TargetMode="External"/></Relationships>
</file>

<file path=xl/worksheets/_rels/sheet7.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56"/>
  <sheetViews>
    <sheetView showGridLines="0" tabSelected="1" zoomScaleNormal="100" workbookViewId="0">
      <selection activeCell="G89" sqref="G89"/>
    </sheetView>
  </sheetViews>
  <sheetFormatPr defaultRowHeight="15" x14ac:dyDescent="0.25"/>
  <cols>
    <col min="1" max="1" width="5" customWidth="1"/>
    <col min="2" max="2" width="13.42578125" customWidth="1"/>
    <col min="3" max="3" width="33" customWidth="1"/>
    <col min="4" max="4" width="32.28515625" customWidth="1"/>
    <col min="5" max="5" width="10.140625" customWidth="1"/>
    <col min="6" max="6" width="7.28515625" customWidth="1"/>
    <col min="7" max="7" width="7" customWidth="1"/>
    <col min="8" max="8" width="12.5703125" customWidth="1"/>
  </cols>
  <sheetData>
    <row r="1" spans="1:14" x14ac:dyDescent="0.25">
      <c r="A1" s="14"/>
    </row>
    <row r="2" spans="1:14" ht="21" x14ac:dyDescent="0.35">
      <c r="A2" s="14"/>
      <c r="B2" s="12" t="s">
        <v>51</v>
      </c>
    </row>
    <row r="3" spans="1:14" x14ac:dyDescent="0.25">
      <c r="A3" s="14"/>
    </row>
    <row r="4" spans="1:14" x14ac:dyDescent="0.25">
      <c r="A4" s="14"/>
      <c r="B4" t="s">
        <v>46</v>
      </c>
      <c r="C4" t="s">
        <v>0</v>
      </c>
    </row>
    <row r="5" spans="1:14" x14ac:dyDescent="0.25">
      <c r="A5" s="14"/>
      <c r="C5" t="s">
        <v>147</v>
      </c>
      <c r="D5" s="1"/>
    </row>
    <row r="6" spans="1:14" x14ac:dyDescent="0.25">
      <c r="A6" s="14"/>
      <c r="C6" t="s">
        <v>146</v>
      </c>
      <c r="D6" s="1"/>
    </row>
    <row r="7" spans="1:14" x14ac:dyDescent="0.25">
      <c r="A7" s="14"/>
      <c r="C7" t="s">
        <v>148</v>
      </c>
      <c r="D7" s="13"/>
    </row>
    <row r="8" spans="1:14" x14ac:dyDescent="0.25">
      <c r="A8" s="14"/>
      <c r="C8" t="s">
        <v>96</v>
      </c>
      <c r="D8" s="16"/>
    </row>
    <row r="9" spans="1:14" x14ac:dyDescent="0.25">
      <c r="A9" s="14"/>
      <c r="C9" t="s">
        <v>365</v>
      </c>
      <c r="D9" s="16"/>
    </row>
    <row r="10" spans="1:14" x14ac:dyDescent="0.25">
      <c r="A10" s="14"/>
      <c r="C10" t="s">
        <v>366</v>
      </c>
      <c r="D10" s="16"/>
    </row>
    <row r="11" spans="1:14" x14ac:dyDescent="0.25">
      <c r="A11" s="14"/>
      <c r="C11" t="s">
        <v>149</v>
      </c>
      <c r="D11" s="19"/>
    </row>
    <row r="12" spans="1:14" x14ac:dyDescent="0.25">
      <c r="A12" s="14"/>
      <c r="C12" t="s">
        <v>150</v>
      </c>
      <c r="D12" s="13"/>
    </row>
    <row r="13" spans="1:14" x14ac:dyDescent="0.25">
      <c r="A13" s="14"/>
      <c r="C13" s="15" t="s">
        <v>151</v>
      </c>
      <c r="D13" s="3"/>
      <c r="G13" s="4"/>
    </row>
    <row r="14" spans="1:14" x14ac:dyDescent="0.25">
      <c r="A14" s="14"/>
      <c r="C14" s="15" t="s">
        <v>179</v>
      </c>
      <c r="D14" s="25">
        <f ca="1">TODAY()</f>
        <v>45427</v>
      </c>
      <c r="G14" s="4"/>
    </row>
    <row r="15" spans="1:14" x14ac:dyDescent="0.25">
      <c r="A15" s="14"/>
      <c r="C15" t="s">
        <v>1</v>
      </c>
      <c r="D15" s="1"/>
    </row>
    <row r="16" spans="1:14" x14ac:dyDescent="0.25">
      <c r="A16" s="14"/>
      <c r="C16" t="s">
        <v>2</v>
      </c>
      <c r="D16" s="1"/>
      <c r="N16" t="s">
        <v>466</v>
      </c>
    </row>
    <row r="17" spans="1:5" x14ac:dyDescent="0.25">
      <c r="A17" s="14"/>
      <c r="C17" t="s">
        <v>3</v>
      </c>
      <c r="D17" s="1"/>
    </row>
    <row r="18" spans="1:5" x14ac:dyDescent="0.25">
      <c r="A18" s="14"/>
    </row>
    <row r="19" spans="1:5" x14ac:dyDescent="0.25">
      <c r="A19" s="14"/>
      <c r="B19" t="s">
        <v>49</v>
      </c>
      <c r="C19" t="s">
        <v>4</v>
      </c>
      <c r="D19" s="45"/>
    </row>
    <row r="20" spans="1:5" x14ac:dyDescent="0.25">
      <c r="A20" s="14"/>
      <c r="C20" t="s">
        <v>92</v>
      </c>
      <c r="D20" s="45"/>
    </row>
    <row r="21" spans="1:5" x14ac:dyDescent="0.25">
      <c r="A21" s="14"/>
      <c r="C21" t="s">
        <v>180</v>
      </c>
      <c r="D21" s="45"/>
    </row>
    <row r="22" spans="1:5" x14ac:dyDescent="0.25">
      <c r="A22" s="14"/>
      <c r="C22" t="s">
        <v>181</v>
      </c>
      <c r="D22" s="45"/>
    </row>
    <row r="23" spans="1:5" x14ac:dyDescent="0.25">
      <c r="A23" s="14"/>
      <c r="C23" s="15" t="s">
        <v>49</v>
      </c>
      <c r="D23" s="45"/>
    </row>
    <row r="24" spans="1:5" x14ac:dyDescent="0.25">
      <c r="A24" s="14"/>
      <c r="C24" t="s">
        <v>48</v>
      </c>
      <c r="D24" s="45"/>
    </row>
    <row r="25" spans="1:5" x14ac:dyDescent="0.25">
      <c r="A25" s="14"/>
      <c r="C25" t="s">
        <v>5</v>
      </c>
      <c r="D25" s="45"/>
    </row>
    <row r="26" spans="1:5" x14ac:dyDescent="0.25">
      <c r="A26" s="14"/>
      <c r="C26" t="s">
        <v>14</v>
      </c>
      <c r="D26" s="45"/>
    </row>
    <row r="27" spans="1:5" x14ac:dyDescent="0.25">
      <c r="A27" s="14"/>
      <c r="C27" t="s">
        <v>15</v>
      </c>
      <c r="D27" s="45"/>
    </row>
    <row r="28" spans="1:5" x14ac:dyDescent="0.25">
      <c r="A28" s="14"/>
      <c r="C28" t="s">
        <v>17</v>
      </c>
      <c r="D28" s="45"/>
    </row>
    <row r="29" spans="1:5" x14ac:dyDescent="0.25">
      <c r="A29" s="14"/>
      <c r="C29" t="s">
        <v>182</v>
      </c>
      <c r="D29" s="45"/>
      <c r="E29" t="s">
        <v>183</v>
      </c>
    </row>
    <row r="30" spans="1:5" x14ac:dyDescent="0.25">
      <c r="A30" s="14"/>
      <c r="C30" t="s">
        <v>16</v>
      </c>
      <c r="D30" s="45"/>
    </row>
    <row r="31" spans="1:5" x14ac:dyDescent="0.25">
      <c r="A31" s="14"/>
      <c r="C31" t="s">
        <v>261</v>
      </c>
      <c r="D31" s="45"/>
    </row>
    <row r="32" spans="1:5" x14ac:dyDescent="0.25">
      <c r="A32" s="14"/>
      <c r="C32" t="s">
        <v>26</v>
      </c>
      <c r="D32" s="45"/>
    </row>
    <row r="33" spans="1:7" x14ac:dyDescent="0.25">
      <c r="A33" s="14"/>
      <c r="C33" t="s">
        <v>27</v>
      </c>
      <c r="D33" s="45"/>
    </row>
    <row r="34" spans="1:7" x14ac:dyDescent="0.25">
      <c r="A34" s="14"/>
    </row>
    <row r="35" spans="1:7" x14ac:dyDescent="0.25">
      <c r="A35" s="14"/>
      <c r="B35" t="s">
        <v>50</v>
      </c>
      <c r="C35" s="15" t="s">
        <v>152</v>
      </c>
      <c r="D35" s="1"/>
      <c r="E35" t="s">
        <v>28</v>
      </c>
    </row>
    <row r="36" spans="1:7" x14ac:dyDescent="0.25">
      <c r="A36" s="14"/>
      <c r="C36" s="15" t="s">
        <v>153</v>
      </c>
      <c r="D36" s="1"/>
      <c r="E36" t="s">
        <v>29</v>
      </c>
    </row>
    <row r="37" spans="1:7" x14ac:dyDescent="0.25">
      <c r="A37" s="14"/>
      <c r="C37" t="s">
        <v>30</v>
      </c>
      <c r="D37" s="1"/>
      <c r="E37" t="s">
        <v>32</v>
      </c>
    </row>
    <row r="38" spans="1:7" x14ac:dyDescent="0.25">
      <c r="A38" s="14"/>
      <c r="C38" t="s">
        <v>31</v>
      </c>
      <c r="D38" s="1"/>
      <c r="E38" t="s">
        <v>32</v>
      </c>
    </row>
    <row r="39" spans="1:7" x14ac:dyDescent="0.25">
      <c r="A39" s="14"/>
      <c r="C39" t="s">
        <v>154</v>
      </c>
      <c r="D39" s="1"/>
      <c r="E39" t="s">
        <v>33</v>
      </c>
    </row>
    <row r="40" spans="1:7" x14ac:dyDescent="0.25">
      <c r="A40" s="14"/>
      <c r="C40" s="15" t="s">
        <v>155</v>
      </c>
      <c r="D40" s="1"/>
      <c r="E40" t="s">
        <v>34</v>
      </c>
      <c r="F40">
        <v>95</v>
      </c>
      <c r="G40">
        <v>100</v>
      </c>
    </row>
    <row r="41" spans="1:7" x14ac:dyDescent="0.25">
      <c r="A41" s="14"/>
      <c r="C41" s="15" t="s">
        <v>50</v>
      </c>
      <c r="D41" s="45"/>
    </row>
    <row r="42" spans="1:7" x14ac:dyDescent="0.25">
      <c r="A42" s="14"/>
      <c r="C42" t="s">
        <v>35</v>
      </c>
      <c r="D42" s="1"/>
    </row>
    <row r="43" spans="1:7" x14ac:dyDescent="0.25">
      <c r="A43" s="14"/>
      <c r="C43" t="s">
        <v>36</v>
      </c>
      <c r="D43" s="1"/>
    </row>
    <row r="44" spans="1:7" x14ac:dyDescent="0.25">
      <c r="A44" s="14"/>
      <c r="C44" t="s">
        <v>37</v>
      </c>
      <c r="D44" s="1"/>
    </row>
    <row r="45" spans="1:7" x14ac:dyDescent="0.25">
      <c r="A45" s="14"/>
      <c r="C45" t="s">
        <v>40</v>
      </c>
      <c r="D45" s="1"/>
    </row>
    <row r="46" spans="1:7" x14ac:dyDescent="0.25">
      <c r="A46" s="14"/>
      <c r="C46" t="s">
        <v>39</v>
      </c>
      <c r="D46" s="1"/>
    </row>
    <row r="47" spans="1:7" x14ac:dyDescent="0.25">
      <c r="A47" s="14"/>
      <c r="C47" t="s">
        <v>187</v>
      </c>
      <c r="D47" s="1"/>
    </row>
    <row r="48" spans="1:7" x14ac:dyDescent="0.25">
      <c r="A48" s="14"/>
    </row>
    <row r="49" spans="1:8" x14ac:dyDescent="0.25">
      <c r="A49" s="14"/>
      <c r="B49" t="s">
        <v>70</v>
      </c>
      <c r="C49" t="s">
        <v>240</v>
      </c>
      <c r="D49" s="1"/>
    </row>
    <row r="50" spans="1:8" x14ac:dyDescent="0.25">
      <c r="A50" s="14"/>
      <c r="C50" t="s">
        <v>241</v>
      </c>
      <c r="D50" s="1"/>
    </row>
    <row r="51" spans="1:8" x14ac:dyDescent="0.25">
      <c r="A51" s="14"/>
      <c r="C51" t="s">
        <v>242</v>
      </c>
      <c r="D51" s="1"/>
    </row>
    <row r="52" spans="1:8" x14ac:dyDescent="0.25">
      <c r="A52" s="14"/>
      <c r="C52" t="s">
        <v>243</v>
      </c>
      <c r="D52" s="1"/>
    </row>
    <row r="53" spans="1:8" x14ac:dyDescent="0.25">
      <c r="A53" s="14"/>
      <c r="C53" t="s">
        <v>244</v>
      </c>
      <c r="D53" s="1"/>
    </row>
    <row r="54" spans="1:8" x14ac:dyDescent="0.25">
      <c r="A54" s="14"/>
      <c r="C54" t="s">
        <v>245</v>
      </c>
      <c r="D54" s="1"/>
    </row>
    <row r="55" spans="1:8" x14ac:dyDescent="0.25">
      <c r="A55" s="14"/>
      <c r="C55" t="s">
        <v>246</v>
      </c>
      <c r="D55" s="1"/>
    </row>
    <row r="56" spans="1:8" x14ac:dyDescent="0.25">
      <c r="A56" s="14"/>
      <c r="C56" t="s">
        <v>247</v>
      </c>
      <c r="D56" s="1"/>
    </row>
    <row r="57" spans="1:8" x14ac:dyDescent="0.25">
      <c r="A57" s="14"/>
      <c r="C57" t="s">
        <v>248</v>
      </c>
      <c r="D57" s="1"/>
    </row>
    <row r="58" spans="1:8" x14ac:dyDescent="0.25">
      <c r="A58" s="14"/>
      <c r="F58" s="9"/>
      <c r="G58" s="9"/>
    </row>
    <row r="59" spans="1:8" x14ac:dyDescent="0.25">
      <c r="A59" s="14"/>
      <c r="B59" s="21" t="s">
        <v>173</v>
      </c>
      <c r="C59" s="21" t="s">
        <v>174</v>
      </c>
      <c r="D59" s="20" t="s">
        <v>200</v>
      </c>
      <c r="E59" s="21"/>
      <c r="F59" s="22" t="s">
        <v>109</v>
      </c>
      <c r="G59" s="20"/>
      <c r="H59" s="1"/>
    </row>
    <row r="60" spans="1:8" x14ac:dyDescent="0.25">
      <c r="A60" s="14"/>
      <c r="B60" s="2"/>
      <c r="C60" s="2"/>
      <c r="D60" s="2"/>
      <c r="F60" s="23"/>
      <c r="G60" s="9"/>
    </row>
    <row r="61" spans="1:8" x14ac:dyDescent="0.25">
      <c r="A61" s="14"/>
      <c r="B61" t="s">
        <v>110</v>
      </c>
      <c r="C61" s="15" t="s">
        <v>460</v>
      </c>
      <c r="D61" s="1"/>
      <c r="E61" t="s">
        <v>156</v>
      </c>
      <c r="F61">
        <v>3.64</v>
      </c>
      <c r="G61">
        <v>5.2</v>
      </c>
      <c r="H61" t="str">
        <f>IF(D61&lt;&gt;"",IF(D61&lt;F61,"low",IF(D61&gt;G61,"high","")),"")</f>
        <v/>
      </c>
    </row>
    <row r="62" spans="1:8" x14ac:dyDescent="0.25">
      <c r="A62" s="14"/>
      <c r="B62" t="s">
        <v>110</v>
      </c>
      <c r="C62" s="15" t="s">
        <v>461</v>
      </c>
      <c r="D62" s="1"/>
      <c r="E62" t="s">
        <v>156</v>
      </c>
      <c r="F62">
        <v>1.04</v>
      </c>
      <c r="G62">
        <v>1.56</v>
      </c>
      <c r="H62" t="str">
        <f t="shared" ref="H62:H153" si="0">IF(D62&lt;&gt;"",IF(D62&lt;F62,"low",IF(D62&gt;G62,"high","")),"")</f>
        <v/>
      </c>
    </row>
    <row r="63" spans="1:8" x14ac:dyDescent="0.25">
      <c r="A63" s="14"/>
      <c r="B63" t="s">
        <v>110</v>
      </c>
      <c r="C63" s="15" t="s">
        <v>44</v>
      </c>
      <c r="D63" s="1"/>
      <c r="E63" t="s">
        <v>156</v>
      </c>
      <c r="F63">
        <v>0.45</v>
      </c>
      <c r="G63">
        <v>1.7</v>
      </c>
      <c r="H63" t="str">
        <f t="shared" si="0"/>
        <v/>
      </c>
    </row>
    <row r="64" spans="1:8" x14ac:dyDescent="0.25">
      <c r="B64" t="s">
        <v>110</v>
      </c>
      <c r="C64" s="15" t="s">
        <v>462</v>
      </c>
      <c r="D64" s="1"/>
      <c r="E64" t="s">
        <v>156</v>
      </c>
      <c r="F64">
        <v>0</v>
      </c>
      <c r="G64">
        <v>4.9000000000000004</v>
      </c>
      <c r="H64" t="str">
        <f t="shared" si="0"/>
        <v/>
      </c>
    </row>
    <row r="65" spans="1:8" x14ac:dyDescent="0.25">
      <c r="B65" t="s">
        <v>110</v>
      </c>
      <c r="C65" s="15" t="s">
        <v>463</v>
      </c>
      <c r="D65" s="1"/>
      <c r="E65" t="s">
        <v>157</v>
      </c>
      <c r="F65">
        <v>0</v>
      </c>
      <c r="G65">
        <v>4</v>
      </c>
      <c r="H65" t="str">
        <f t="shared" si="0"/>
        <v/>
      </c>
    </row>
    <row r="66" spans="1:8" x14ac:dyDescent="0.25">
      <c r="B66" t="s">
        <v>110</v>
      </c>
      <c r="C66" s="15" t="s">
        <v>464</v>
      </c>
      <c r="D66" s="1"/>
      <c r="E66" t="s">
        <v>157</v>
      </c>
      <c r="F66">
        <v>0</v>
      </c>
      <c r="G66">
        <v>3</v>
      </c>
      <c r="H66" t="str">
        <f t="shared" si="0"/>
        <v/>
      </c>
    </row>
    <row r="68" spans="1:8" x14ac:dyDescent="0.25">
      <c r="B68" t="s">
        <v>79</v>
      </c>
      <c r="C68" s="15" t="s">
        <v>138</v>
      </c>
      <c r="D68" s="1"/>
      <c r="E68" t="s">
        <v>158</v>
      </c>
      <c r="F68">
        <v>0</v>
      </c>
      <c r="G68" s="18">
        <v>5.7</v>
      </c>
      <c r="H68" t="str">
        <f t="shared" si="0"/>
        <v/>
      </c>
    </row>
    <row r="69" spans="1:8" x14ac:dyDescent="0.25">
      <c r="B69" t="s">
        <v>79</v>
      </c>
      <c r="C69" s="15" t="s">
        <v>465</v>
      </c>
      <c r="D69" s="1"/>
      <c r="E69" t="s">
        <v>159</v>
      </c>
      <c r="F69">
        <v>70</v>
      </c>
      <c r="G69" s="18">
        <v>100</v>
      </c>
      <c r="H69" t="str">
        <f t="shared" si="0"/>
        <v/>
      </c>
    </row>
    <row r="70" spans="1:8" x14ac:dyDescent="0.25">
      <c r="B70" t="s">
        <v>79</v>
      </c>
      <c r="C70" s="15" t="s">
        <v>493</v>
      </c>
      <c r="D70" s="1"/>
      <c r="E70" t="s">
        <v>159</v>
      </c>
      <c r="F70">
        <v>70</v>
      </c>
      <c r="G70" s="18">
        <v>140</v>
      </c>
      <c r="H70" t="str">
        <f t="shared" si="0"/>
        <v/>
      </c>
    </row>
    <row r="71" spans="1:8" x14ac:dyDescent="0.25">
      <c r="A71" s="14"/>
      <c r="G71" s="7"/>
      <c r="H71" t="str">
        <f t="shared" si="0"/>
        <v/>
      </c>
    </row>
    <row r="72" spans="1:8" x14ac:dyDescent="0.25">
      <c r="A72" s="14"/>
      <c r="B72" t="s">
        <v>478</v>
      </c>
      <c r="C72" s="15" t="s">
        <v>45</v>
      </c>
      <c r="D72" s="1"/>
      <c r="E72" t="s">
        <v>159</v>
      </c>
      <c r="F72">
        <v>16.8</v>
      </c>
      <c r="G72">
        <v>43.3</v>
      </c>
      <c r="H72" t="str">
        <f t="shared" si="0"/>
        <v/>
      </c>
    </row>
    <row r="73" spans="1:8" x14ac:dyDescent="0.25">
      <c r="A73" s="14"/>
      <c r="B73" t="s">
        <v>478</v>
      </c>
      <c r="C73" s="15" t="s">
        <v>125</v>
      </c>
      <c r="D73" s="1"/>
      <c r="E73" t="s">
        <v>159</v>
      </c>
      <c r="F73">
        <v>0.8</v>
      </c>
      <c r="G73">
        <v>1.3</v>
      </c>
      <c r="H73" t="str">
        <f t="shared" si="0"/>
        <v/>
      </c>
    </row>
    <row r="74" spans="1:8" x14ac:dyDescent="0.25">
      <c r="A74" s="14"/>
      <c r="B74" t="s">
        <v>478</v>
      </c>
      <c r="C74" s="15" t="s">
        <v>83</v>
      </c>
      <c r="D74" s="1"/>
      <c r="E74" t="s">
        <v>156</v>
      </c>
      <c r="F74">
        <v>135</v>
      </c>
      <c r="G74">
        <v>148</v>
      </c>
      <c r="H74" t="str">
        <f t="shared" si="0"/>
        <v/>
      </c>
    </row>
    <row r="75" spans="1:8" x14ac:dyDescent="0.25">
      <c r="B75" t="s">
        <v>478</v>
      </c>
      <c r="C75" s="15" t="s">
        <v>84</v>
      </c>
      <c r="D75" s="1"/>
      <c r="E75" t="s">
        <v>156</v>
      </c>
      <c r="F75">
        <v>3.5</v>
      </c>
      <c r="G75">
        <v>5.3</v>
      </c>
      <c r="H75" t="str">
        <f t="shared" si="0"/>
        <v/>
      </c>
    </row>
    <row r="76" spans="1:8" x14ac:dyDescent="0.25">
      <c r="B76" t="s">
        <v>478</v>
      </c>
      <c r="C76" t="s">
        <v>417</v>
      </c>
      <c r="D76" s="1"/>
      <c r="H76" t="str">
        <f t="shared" si="0"/>
        <v/>
      </c>
    </row>
    <row r="77" spans="1:8" x14ac:dyDescent="0.25">
      <c r="B77" t="s">
        <v>478</v>
      </c>
      <c r="C77" s="15" t="s">
        <v>418</v>
      </c>
      <c r="D77" s="1"/>
      <c r="E77" t="s">
        <v>419</v>
      </c>
      <c r="G77">
        <v>60</v>
      </c>
    </row>
    <row r="78" spans="1:8" x14ac:dyDescent="0.25">
      <c r="B78" t="s">
        <v>478</v>
      </c>
      <c r="C78" s="15" t="s">
        <v>420</v>
      </c>
      <c r="D78" s="1"/>
    </row>
    <row r="79" spans="1:8" x14ac:dyDescent="0.25">
      <c r="B79" t="s">
        <v>478</v>
      </c>
      <c r="C79" s="15" t="s">
        <v>421</v>
      </c>
      <c r="D79" s="1"/>
    </row>
    <row r="80" spans="1:8" x14ac:dyDescent="0.25">
      <c r="B80" t="s">
        <v>478</v>
      </c>
      <c r="C80" s="15" t="s">
        <v>503</v>
      </c>
      <c r="D80" s="1"/>
      <c r="E80" t="s">
        <v>494</v>
      </c>
      <c r="F80">
        <v>4</v>
      </c>
      <c r="G80">
        <v>7</v>
      </c>
    </row>
    <row r="81" spans="2:8" x14ac:dyDescent="0.25">
      <c r="B81" t="s">
        <v>478</v>
      </c>
      <c r="C81" s="15" t="s">
        <v>497</v>
      </c>
      <c r="D81" s="1"/>
      <c r="E81" t="s">
        <v>498</v>
      </c>
      <c r="F81">
        <v>21</v>
      </c>
      <c r="G81">
        <v>28</v>
      </c>
    </row>
    <row r="83" spans="2:8" x14ac:dyDescent="0.25">
      <c r="B83" t="s">
        <v>169</v>
      </c>
      <c r="C83" s="15" t="s">
        <v>422</v>
      </c>
      <c r="D83" s="1"/>
      <c r="E83" t="s">
        <v>423</v>
      </c>
      <c r="F83">
        <v>66</v>
      </c>
      <c r="G83">
        <v>83</v>
      </c>
      <c r="H83" t="str">
        <f t="shared" si="0"/>
        <v/>
      </c>
    </row>
    <row r="84" spans="2:8" x14ac:dyDescent="0.25">
      <c r="B84" t="s">
        <v>169</v>
      </c>
      <c r="C84" s="15" t="s">
        <v>424</v>
      </c>
      <c r="D84" s="1"/>
    </row>
    <row r="85" spans="2:8" x14ac:dyDescent="0.25">
      <c r="B85" t="s">
        <v>169</v>
      </c>
      <c r="C85" s="15" t="s">
        <v>139</v>
      </c>
      <c r="D85" s="1"/>
      <c r="E85" t="s">
        <v>160</v>
      </c>
      <c r="F85">
        <v>0</v>
      </c>
      <c r="G85">
        <v>35</v>
      </c>
      <c r="H85" t="str">
        <f t="shared" si="0"/>
        <v/>
      </c>
    </row>
    <row r="86" spans="2:8" x14ac:dyDescent="0.25">
      <c r="B86" t="s">
        <v>169</v>
      </c>
      <c r="C86" s="15" t="s">
        <v>140</v>
      </c>
      <c r="D86" s="1"/>
      <c r="E86" t="s">
        <v>160</v>
      </c>
      <c r="F86">
        <v>0</v>
      </c>
      <c r="G86">
        <v>45</v>
      </c>
      <c r="H86" t="str">
        <f t="shared" si="0"/>
        <v/>
      </c>
    </row>
    <row r="87" spans="2:8" x14ac:dyDescent="0.25">
      <c r="B87" t="s">
        <v>169</v>
      </c>
      <c r="C87" s="15" t="s">
        <v>141</v>
      </c>
      <c r="D87" s="1"/>
      <c r="E87" t="s">
        <v>160</v>
      </c>
      <c r="F87">
        <v>30</v>
      </c>
      <c r="G87">
        <v>120</v>
      </c>
      <c r="H87" t="str">
        <f t="shared" si="0"/>
        <v/>
      </c>
    </row>
    <row r="88" spans="2:8" x14ac:dyDescent="0.25">
      <c r="B88" t="s">
        <v>169</v>
      </c>
      <c r="C88" s="15" t="s">
        <v>142</v>
      </c>
      <c r="D88" s="1"/>
      <c r="E88" t="s">
        <v>159</v>
      </c>
      <c r="F88">
        <v>0.1</v>
      </c>
      <c r="G88">
        <v>1.2</v>
      </c>
      <c r="H88" t="str">
        <f t="shared" si="0"/>
        <v/>
      </c>
    </row>
    <row r="89" spans="2:8" x14ac:dyDescent="0.25">
      <c r="B89" t="s">
        <v>169</v>
      </c>
      <c r="C89" s="15" t="s">
        <v>143</v>
      </c>
      <c r="D89" s="1"/>
      <c r="E89" t="s">
        <v>160</v>
      </c>
      <c r="F89">
        <v>9</v>
      </c>
      <c r="G89">
        <v>39</v>
      </c>
      <c r="H89" t="str">
        <f t="shared" si="0"/>
        <v/>
      </c>
    </row>
    <row r="90" spans="2:8" x14ac:dyDescent="0.25">
      <c r="B90" t="s">
        <v>169</v>
      </c>
      <c r="C90" s="15" t="s">
        <v>501</v>
      </c>
      <c r="D90" s="1"/>
      <c r="E90" t="s">
        <v>500</v>
      </c>
      <c r="F90">
        <v>23</v>
      </c>
      <c r="G90">
        <v>33</v>
      </c>
      <c r="H90" t="str">
        <f t="shared" si="0"/>
        <v/>
      </c>
    </row>
    <row r="91" spans="2:8" x14ac:dyDescent="0.25">
      <c r="C91" s="15"/>
    </row>
    <row r="92" spans="2:8" x14ac:dyDescent="0.25">
      <c r="B92" t="s">
        <v>170</v>
      </c>
      <c r="C92" t="s">
        <v>425</v>
      </c>
      <c r="D92" s="1"/>
      <c r="H92" t="str">
        <f t="shared" si="0"/>
        <v/>
      </c>
    </row>
    <row r="93" spans="2:8" x14ac:dyDescent="0.25">
      <c r="B93" t="s">
        <v>170</v>
      </c>
      <c r="C93" t="s">
        <v>426</v>
      </c>
      <c r="D93" s="1"/>
      <c r="H93" t="str">
        <f t="shared" si="0"/>
        <v/>
      </c>
    </row>
    <row r="94" spans="2:8" x14ac:dyDescent="0.25">
      <c r="B94" t="s">
        <v>170</v>
      </c>
      <c r="C94" s="15" t="s">
        <v>457</v>
      </c>
      <c r="D94" s="1"/>
    </row>
    <row r="95" spans="2:8" x14ac:dyDescent="0.25">
      <c r="B95" t="s">
        <v>170</v>
      </c>
      <c r="C95" s="15" t="s">
        <v>458</v>
      </c>
      <c r="D95" s="1"/>
    </row>
    <row r="96" spans="2:8" x14ac:dyDescent="0.25">
      <c r="B96" t="s">
        <v>170</v>
      </c>
      <c r="C96" s="15" t="s">
        <v>428</v>
      </c>
      <c r="D96" s="1"/>
      <c r="E96" t="s">
        <v>429</v>
      </c>
      <c r="F96">
        <v>45</v>
      </c>
      <c r="G96">
        <v>158</v>
      </c>
      <c r="H96" t="str">
        <f>IF(D96&lt;&gt;"",IF(D96&lt;F96,"low",IF(D96&gt;G96,"high","")),"")</f>
        <v/>
      </c>
    </row>
    <row r="97" spans="2:8" x14ac:dyDescent="0.25">
      <c r="B97" t="s">
        <v>170</v>
      </c>
      <c r="C97" t="s">
        <v>430</v>
      </c>
      <c r="D97" s="1"/>
      <c r="E97" t="s">
        <v>431</v>
      </c>
      <c r="F97">
        <v>30</v>
      </c>
      <c r="G97">
        <v>400</v>
      </c>
      <c r="H97" t="str">
        <f t="shared" si="0"/>
        <v/>
      </c>
    </row>
    <row r="98" spans="2:8" x14ac:dyDescent="0.25">
      <c r="B98" t="s">
        <v>170</v>
      </c>
      <c r="C98" t="s">
        <v>432</v>
      </c>
      <c r="D98" s="1"/>
      <c r="E98" t="s">
        <v>433</v>
      </c>
      <c r="F98">
        <v>250</v>
      </c>
      <c r="G98">
        <v>450</v>
      </c>
      <c r="H98" t="str">
        <f t="shared" si="0"/>
        <v/>
      </c>
    </row>
    <row r="99" spans="2:8" x14ac:dyDescent="0.25">
      <c r="B99" t="s">
        <v>170</v>
      </c>
      <c r="C99" s="15" t="s">
        <v>499</v>
      </c>
      <c r="D99" s="1"/>
      <c r="E99" t="s">
        <v>500</v>
      </c>
      <c r="F99">
        <v>2</v>
      </c>
      <c r="G99">
        <v>3.6</v>
      </c>
    </row>
    <row r="100" spans="2:8" x14ac:dyDescent="0.25">
      <c r="B100" t="s">
        <v>170</v>
      </c>
      <c r="C100" t="s">
        <v>434</v>
      </c>
      <c r="D100" s="1"/>
      <c r="F100">
        <v>30</v>
      </c>
      <c r="G100">
        <v>100</v>
      </c>
    </row>
    <row r="101" spans="2:8" x14ac:dyDescent="0.25">
      <c r="B101" t="s">
        <v>170</v>
      </c>
      <c r="C101" t="s">
        <v>491</v>
      </c>
      <c r="D101" s="1"/>
    </row>
    <row r="102" spans="2:8" x14ac:dyDescent="0.25">
      <c r="B102" t="s">
        <v>170</v>
      </c>
      <c r="C102" s="15" t="s">
        <v>492</v>
      </c>
      <c r="D102" s="1"/>
    </row>
    <row r="103" spans="2:8" x14ac:dyDescent="0.25">
      <c r="C103" s="15"/>
      <c r="D103" s="1"/>
    </row>
    <row r="104" spans="2:8" x14ac:dyDescent="0.25">
      <c r="B104" t="s">
        <v>171</v>
      </c>
      <c r="C104" s="15" t="s">
        <v>126</v>
      </c>
      <c r="D104" s="1"/>
      <c r="E104" t="s">
        <v>163</v>
      </c>
      <c r="F104">
        <v>4</v>
      </c>
      <c r="G104">
        <v>11</v>
      </c>
      <c r="H104" t="str">
        <f t="shared" si="0"/>
        <v/>
      </c>
    </row>
    <row r="105" spans="2:8" x14ac:dyDescent="0.25">
      <c r="B105" t="s">
        <v>171</v>
      </c>
      <c r="C105" s="15" t="s">
        <v>127</v>
      </c>
      <c r="D105" s="1"/>
      <c r="E105" t="s">
        <v>164</v>
      </c>
      <c r="F105">
        <v>4.5</v>
      </c>
      <c r="G105">
        <v>5.9</v>
      </c>
      <c r="H105" t="str">
        <f t="shared" si="0"/>
        <v/>
      </c>
    </row>
    <row r="106" spans="2:8" x14ac:dyDescent="0.25">
      <c r="B106" t="s">
        <v>171</v>
      </c>
      <c r="C106" s="15" t="s">
        <v>128</v>
      </c>
      <c r="D106" s="1"/>
      <c r="E106" t="s">
        <v>165</v>
      </c>
      <c r="F106">
        <v>13.5</v>
      </c>
      <c r="G106">
        <v>17.5</v>
      </c>
      <c r="H106" t="str">
        <f t="shared" si="0"/>
        <v/>
      </c>
    </row>
    <row r="107" spans="2:8" x14ac:dyDescent="0.25">
      <c r="B107" t="s">
        <v>171</v>
      </c>
      <c r="C107" s="15" t="s">
        <v>129</v>
      </c>
      <c r="D107" s="1"/>
      <c r="E107" t="s">
        <v>158</v>
      </c>
      <c r="F107">
        <v>0</v>
      </c>
      <c r="G107">
        <v>0</v>
      </c>
      <c r="H107" t="str">
        <f t="shared" si="0"/>
        <v/>
      </c>
    </row>
    <row r="108" spans="2:8" x14ac:dyDescent="0.25">
      <c r="B108" t="s">
        <v>171</v>
      </c>
      <c r="C108" s="15" t="s">
        <v>130</v>
      </c>
      <c r="D108" s="1"/>
      <c r="E108" t="s">
        <v>166</v>
      </c>
      <c r="F108">
        <v>80</v>
      </c>
      <c r="G108">
        <v>100</v>
      </c>
      <c r="H108" t="str">
        <f t="shared" si="0"/>
        <v/>
      </c>
    </row>
    <row r="109" spans="2:8" x14ac:dyDescent="0.25">
      <c r="B109" t="s">
        <v>171</v>
      </c>
      <c r="C109" s="15" t="s">
        <v>131</v>
      </c>
      <c r="D109" s="1"/>
      <c r="E109" t="s">
        <v>167</v>
      </c>
      <c r="F109">
        <v>26</v>
      </c>
      <c r="G109">
        <v>34</v>
      </c>
      <c r="H109" t="str">
        <f t="shared" si="0"/>
        <v/>
      </c>
    </row>
    <row r="110" spans="2:8" x14ac:dyDescent="0.25">
      <c r="B110" t="s">
        <v>171</v>
      </c>
      <c r="C110" s="15" t="s">
        <v>435</v>
      </c>
      <c r="D110" s="1"/>
      <c r="E110" t="s">
        <v>165</v>
      </c>
      <c r="F110">
        <v>32</v>
      </c>
      <c r="G110">
        <v>36</v>
      </c>
      <c r="H110" t="str">
        <f t="shared" si="0"/>
        <v/>
      </c>
    </row>
    <row r="111" spans="2:8" x14ac:dyDescent="0.25">
      <c r="B111" t="s">
        <v>171</v>
      </c>
      <c r="C111" s="15" t="s">
        <v>132</v>
      </c>
      <c r="D111" s="1"/>
      <c r="E111" t="s">
        <v>163</v>
      </c>
      <c r="F111">
        <v>150</v>
      </c>
      <c r="G111">
        <v>450</v>
      </c>
      <c r="H111" t="str">
        <f t="shared" si="0"/>
        <v/>
      </c>
    </row>
    <row r="112" spans="2:8" x14ac:dyDescent="0.25">
      <c r="B112" t="s">
        <v>171</v>
      </c>
      <c r="C112" s="15" t="s">
        <v>133</v>
      </c>
      <c r="D112" s="1"/>
      <c r="E112" t="s">
        <v>158</v>
      </c>
      <c r="F112">
        <v>34</v>
      </c>
      <c r="G112">
        <v>66</v>
      </c>
      <c r="H112" t="str">
        <f t="shared" si="0"/>
        <v/>
      </c>
    </row>
    <row r="113" spans="2:8" x14ac:dyDescent="0.25">
      <c r="B113" t="s">
        <v>171</v>
      </c>
      <c r="C113" s="15" t="s">
        <v>134</v>
      </c>
      <c r="D113" s="1"/>
      <c r="E113" t="s">
        <v>158</v>
      </c>
      <c r="F113">
        <v>0</v>
      </c>
      <c r="G113">
        <v>0</v>
      </c>
      <c r="H113" t="str">
        <f t="shared" si="0"/>
        <v/>
      </c>
    </row>
    <row r="114" spans="2:8" x14ac:dyDescent="0.25">
      <c r="B114" t="s">
        <v>171</v>
      </c>
      <c r="C114" s="15" t="s">
        <v>135</v>
      </c>
      <c r="D114" s="1"/>
      <c r="E114" t="s">
        <v>158</v>
      </c>
      <c r="F114">
        <v>2</v>
      </c>
      <c r="G114">
        <v>10</v>
      </c>
      <c r="H114" t="str">
        <f t="shared" si="0"/>
        <v/>
      </c>
    </row>
    <row r="115" spans="2:8" x14ac:dyDescent="0.25">
      <c r="B115" t="s">
        <v>171</v>
      </c>
      <c r="C115" s="15" t="s">
        <v>136</v>
      </c>
      <c r="D115" s="1"/>
      <c r="E115" t="s">
        <v>158</v>
      </c>
      <c r="F115">
        <v>0</v>
      </c>
      <c r="G115">
        <v>6</v>
      </c>
      <c r="H115" t="str">
        <f t="shared" si="0"/>
        <v/>
      </c>
    </row>
    <row r="116" spans="2:8" x14ac:dyDescent="0.25">
      <c r="B116" t="s">
        <v>171</v>
      </c>
      <c r="C116" s="15" t="s">
        <v>137</v>
      </c>
      <c r="D116" s="1"/>
      <c r="E116" t="s">
        <v>158</v>
      </c>
      <c r="F116">
        <v>0</v>
      </c>
      <c r="G116">
        <v>2</v>
      </c>
      <c r="H116" t="str">
        <f t="shared" si="0"/>
        <v/>
      </c>
    </row>
    <row r="117" spans="2:8" x14ac:dyDescent="0.25">
      <c r="C117" s="15"/>
    </row>
    <row r="118" spans="2:8" x14ac:dyDescent="0.25">
      <c r="B118" t="s">
        <v>414</v>
      </c>
      <c r="C118" s="15" t="s">
        <v>415</v>
      </c>
      <c r="D118" s="1"/>
    </row>
    <row r="119" spans="2:8" x14ac:dyDescent="0.25">
      <c r="B119" t="s">
        <v>414</v>
      </c>
      <c r="C119" s="15" t="s">
        <v>416</v>
      </c>
      <c r="D119" s="1"/>
    </row>
    <row r="120" spans="2:8" x14ac:dyDescent="0.25">
      <c r="B120" t="s">
        <v>414</v>
      </c>
      <c r="C120" s="15" t="s">
        <v>489</v>
      </c>
      <c r="D120" s="1"/>
    </row>
    <row r="121" spans="2:8" x14ac:dyDescent="0.25">
      <c r="B121" t="s">
        <v>374</v>
      </c>
      <c r="C121" s="15" t="s">
        <v>374</v>
      </c>
      <c r="D121" s="1"/>
      <c r="E121" t="s">
        <v>451</v>
      </c>
      <c r="F121">
        <v>0</v>
      </c>
      <c r="G121">
        <v>0.5</v>
      </c>
      <c r="H121" t="str">
        <f>IF(D121&lt;&gt;"",IF(D121&lt;F121,"low",IF(D121&gt;G121,"high","")),"")</f>
        <v/>
      </c>
    </row>
    <row r="122" spans="2:8" x14ac:dyDescent="0.25">
      <c r="C122" s="15"/>
    </row>
    <row r="123" spans="2:8" x14ac:dyDescent="0.25">
      <c r="B123" t="s">
        <v>236</v>
      </c>
      <c r="C123" s="15" t="s">
        <v>436</v>
      </c>
      <c r="D123" s="1"/>
      <c r="E123" t="s">
        <v>437</v>
      </c>
      <c r="F123">
        <v>0</v>
      </c>
      <c r="G123">
        <v>4</v>
      </c>
      <c r="H123" t="str">
        <f t="shared" si="0"/>
        <v/>
      </c>
    </row>
    <row r="124" spans="2:8" x14ac:dyDescent="0.25">
      <c r="B124" t="s">
        <v>236</v>
      </c>
      <c r="C124" s="15" t="s">
        <v>488</v>
      </c>
      <c r="D124" s="1"/>
      <c r="H124" t="str">
        <f t="shared" ref="H124" si="1">IF(D124&lt;&gt;"",IF(D124&lt;F124,"low",IF(D124&gt;G124,"high","")),"")</f>
        <v/>
      </c>
    </row>
    <row r="125" spans="2:8" x14ac:dyDescent="0.25">
      <c r="B125" t="s">
        <v>438</v>
      </c>
      <c r="C125" s="15" t="s">
        <v>439</v>
      </c>
      <c r="D125" s="1"/>
      <c r="H125" t="str">
        <f t="shared" si="0"/>
        <v/>
      </c>
    </row>
    <row r="126" spans="2:8" x14ac:dyDescent="0.25">
      <c r="C126" s="15"/>
    </row>
    <row r="127" spans="2:8" x14ac:dyDescent="0.25">
      <c r="B127" t="str">
        <f>"Thyroid"</f>
        <v>Thyroid</v>
      </c>
      <c r="C127" s="15" t="s">
        <v>144</v>
      </c>
      <c r="D127" s="1"/>
      <c r="E127" t="s">
        <v>161</v>
      </c>
      <c r="F127">
        <v>0.27</v>
      </c>
      <c r="G127">
        <v>4.2</v>
      </c>
      <c r="H127" t="str">
        <f>IF(D127&lt;&gt;"",IF(D127&lt;F127,"low",IF(D127&gt;G127,"high","")),"")</f>
        <v/>
      </c>
    </row>
    <row r="128" spans="2:8" x14ac:dyDescent="0.25">
      <c r="B128" t="str">
        <f t="shared" ref="B128:B130" si="2">"Thyroid"</f>
        <v>Thyroid</v>
      </c>
      <c r="C128" s="15" t="s">
        <v>459</v>
      </c>
      <c r="D128" s="1"/>
    </row>
    <row r="129" spans="2:8" x14ac:dyDescent="0.25">
      <c r="B129" t="str">
        <f t="shared" si="2"/>
        <v>Thyroid</v>
      </c>
      <c r="C129" s="15" t="s">
        <v>145</v>
      </c>
      <c r="D129" s="1"/>
      <c r="E129" t="s">
        <v>162</v>
      </c>
      <c r="F129">
        <v>12</v>
      </c>
      <c r="G129">
        <v>22</v>
      </c>
      <c r="H129" t="str">
        <f>IF(D129&lt;&gt;"",IF(D129&lt;F129,"low",IF(D129&gt;G129,"high","")),"")</f>
        <v/>
      </c>
    </row>
    <row r="130" spans="2:8" x14ac:dyDescent="0.25">
      <c r="B130" t="str">
        <f t="shared" si="2"/>
        <v>Thyroid</v>
      </c>
      <c r="C130" s="15" t="s">
        <v>440</v>
      </c>
      <c r="D130" s="1"/>
      <c r="E130" t="s">
        <v>441</v>
      </c>
      <c r="F130">
        <v>0.7</v>
      </c>
      <c r="G130">
        <v>1.48</v>
      </c>
      <c r="H130" t="str">
        <f>IF(D130&lt;&gt;"",IF(D130&lt;F130,"low",IF(D130&gt;G130,"high","")),"")</f>
        <v/>
      </c>
    </row>
    <row r="131" spans="2:8" x14ac:dyDescent="0.25">
      <c r="C131" s="15"/>
    </row>
    <row r="132" spans="2:8" x14ac:dyDescent="0.25">
      <c r="B132" t="s">
        <v>442</v>
      </c>
      <c r="C132" s="15" t="s">
        <v>443</v>
      </c>
      <c r="D132" s="1"/>
    </row>
    <row r="133" spans="2:8" x14ac:dyDescent="0.25">
      <c r="B133" t="s">
        <v>442</v>
      </c>
      <c r="C133" s="15" t="s">
        <v>530</v>
      </c>
      <c r="D133" s="1"/>
    </row>
    <row r="134" spans="2:8" x14ac:dyDescent="0.25">
      <c r="B134" t="s">
        <v>442</v>
      </c>
      <c r="C134" s="15" t="s">
        <v>511</v>
      </c>
      <c r="D134" s="1"/>
      <c r="E134" t="s">
        <v>512</v>
      </c>
      <c r="F134">
        <v>0</v>
      </c>
      <c r="G134">
        <v>1</v>
      </c>
    </row>
    <row r="135" spans="2:8" x14ac:dyDescent="0.25">
      <c r="C135" s="15"/>
    </row>
    <row r="136" spans="2:8" x14ac:dyDescent="0.25">
      <c r="B136" t="s">
        <v>444</v>
      </c>
      <c r="C136" s="15" t="s">
        <v>445</v>
      </c>
      <c r="D136" s="1"/>
      <c r="E136" t="s">
        <v>446</v>
      </c>
      <c r="F136">
        <v>0</v>
      </c>
      <c r="G136">
        <v>6</v>
      </c>
      <c r="H136" t="str">
        <f t="shared" si="0"/>
        <v/>
      </c>
    </row>
    <row r="137" spans="2:8" x14ac:dyDescent="0.25">
      <c r="B137" t="s">
        <v>444</v>
      </c>
      <c r="C137" s="15" t="s">
        <v>447</v>
      </c>
      <c r="D137" s="1"/>
    </row>
    <row r="138" spans="2:8" x14ac:dyDescent="0.25">
      <c r="B138" t="s">
        <v>448</v>
      </c>
      <c r="C138" s="15" t="s">
        <v>449</v>
      </c>
      <c r="D138" s="1"/>
      <c r="E138" t="s">
        <v>160</v>
      </c>
      <c r="F138">
        <v>26</v>
      </c>
      <c r="G138">
        <v>192</v>
      </c>
      <c r="H138" t="str">
        <f t="shared" si="0"/>
        <v/>
      </c>
    </row>
    <row r="139" spans="2:8" x14ac:dyDescent="0.25">
      <c r="C139" s="15"/>
    </row>
    <row r="140" spans="2:8" x14ac:dyDescent="0.25">
      <c r="B140" t="s">
        <v>453</v>
      </c>
      <c r="C140" s="15" t="s">
        <v>450</v>
      </c>
      <c r="D140" s="1"/>
    </row>
    <row r="141" spans="2:8" x14ac:dyDescent="0.25">
      <c r="B141" t="s">
        <v>453</v>
      </c>
      <c r="C141" s="15" t="s">
        <v>490</v>
      </c>
      <c r="D141" s="1"/>
    </row>
    <row r="142" spans="2:8" x14ac:dyDescent="0.25">
      <c r="B142" t="s">
        <v>453</v>
      </c>
      <c r="C142" s="15" t="s">
        <v>495</v>
      </c>
      <c r="D142" s="1"/>
      <c r="E142" t="s">
        <v>496</v>
      </c>
      <c r="F142">
        <v>0</v>
      </c>
      <c r="G142">
        <v>248</v>
      </c>
    </row>
    <row r="143" spans="2:8" x14ac:dyDescent="0.25">
      <c r="C143" s="15"/>
    </row>
    <row r="144" spans="2:8" x14ac:dyDescent="0.25">
      <c r="B144" t="s">
        <v>504</v>
      </c>
      <c r="C144" s="15" t="s">
        <v>502</v>
      </c>
      <c r="D144" s="1"/>
    </row>
    <row r="145" spans="2:8" x14ac:dyDescent="0.25">
      <c r="B145" t="s">
        <v>504</v>
      </c>
      <c r="C145" s="15" t="s">
        <v>509</v>
      </c>
      <c r="D145" s="1"/>
      <c r="E145" t="s">
        <v>510</v>
      </c>
      <c r="F145">
        <v>0</v>
      </c>
      <c r="G145">
        <v>150</v>
      </c>
    </row>
    <row r="146" spans="2:8" x14ac:dyDescent="0.25">
      <c r="B146" t="s">
        <v>504</v>
      </c>
      <c r="C146" s="15" t="s">
        <v>507</v>
      </c>
      <c r="D146" s="1"/>
      <c r="E146" t="s">
        <v>500</v>
      </c>
      <c r="F146">
        <v>3.7</v>
      </c>
      <c r="G146">
        <v>15</v>
      </c>
    </row>
    <row r="147" spans="2:8" x14ac:dyDescent="0.25">
      <c r="B147" t="s">
        <v>504</v>
      </c>
      <c r="C147" s="15" t="s">
        <v>508</v>
      </c>
      <c r="D147" s="1"/>
      <c r="E147" t="s">
        <v>500</v>
      </c>
      <c r="F147">
        <v>0.2</v>
      </c>
      <c r="G147">
        <v>2.2000000000000002</v>
      </c>
    </row>
    <row r="148" spans="2:8" x14ac:dyDescent="0.25">
      <c r="B148" t="s">
        <v>504</v>
      </c>
      <c r="C148" s="15" t="s">
        <v>505</v>
      </c>
      <c r="D148" s="1"/>
      <c r="E148" t="s">
        <v>506</v>
      </c>
      <c r="F148">
        <v>0</v>
      </c>
      <c r="G148">
        <v>10</v>
      </c>
    </row>
    <row r="150" spans="2:8" x14ac:dyDescent="0.25">
      <c r="B150" t="s">
        <v>251</v>
      </c>
      <c r="C150" s="15" t="s">
        <v>452</v>
      </c>
      <c r="D150" s="1"/>
    </row>
    <row r="151" spans="2:8" x14ac:dyDescent="0.25">
      <c r="B151" s="1" t="s">
        <v>176</v>
      </c>
      <c r="C151" s="24"/>
      <c r="D151" s="20" t="s">
        <v>200</v>
      </c>
      <c r="E151" s="1"/>
      <c r="F151" s="21" t="s">
        <v>109</v>
      </c>
      <c r="G151" s="1"/>
      <c r="H151" s="1"/>
    </row>
    <row r="153" spans="2:8" x14ac:dyDescent="0.25">
      <c r="B153" t="s">
        <v>453</v>
      </c>
      <c r="C153" t="s">
        <v>91</v>
      </c>
      <c r="D153" s="1"/>
      <c r="H153" t="str">
        <f t="shared" si="0"/>
        <v/>
      </c>
    </row>
    <row r="154" spans="2:8" x14ac:dyDescent="0.25">
      <c r="B154" t="s">
        <v>454</v>
      </c>
      <c r="C154" t="s">
        <v>455</v>
      </c>
      <c r="D154" s="1" t="b">
        <v>0</v>
      </c>
    </row>
    <row r="155" spans="2:8" x14ac:dyDescent="0.25">
      <c r="B155" t="s">
        <v>454</v>
      </c>
      <c r="C155" t="s">
        <v>456</v>
      </c>
      <c r="D155" s="1" t="b">
        <f>IF(AND(Total_Cholesterol&lt;&gt;"",AND(Age&gt;=40,Age&lt;=80)),TRUE,FALSE)</f>
        <v>0</v>
      </c>
    </row>
    <row r="156" spans="2:8" x14ac:dyDescent="0.25">
      <c r="B156" s="1" t="s">
        <v>177</v>
      </c>
      <c r="C156" s="21"/>
      <c r="D156" s="20" t="s">
        <v>200</v>
      </c>
      <c r="E156" s="21"/>
      <c r="F156" s="22"/>
      <c r="G156" s="1"/>
      <c r="H156" s="1"/>
    </row>
  </sheetData>
  <dataValidations disablePrompts="1" xWindow="687" yWindow="762" count="3">
    <dataValidation allowBlank="1" showInputMessage="1" showErrorMessage="1" prompt="Enter occupation here" sqref="D16" xr:uid="{00000000-0002-0000-0000-000000000000}"/>
    <dataValidation type="whole" allowBlank="1" showInputMessage="1" showErrorMessage="1" prompt="alcohol units per week" sqref="D29" xr:uid="{00000000-0002-0000-0000-000001000000}">
      <formula1>0</formula1>
      <formula2>200</formula2>
    </dataValidation>
    <dataValidation type="list" allowBlank="1" showInputMessage="1" prompt="Select Nil if nil signifcant, otherwise enter info later" sqref="D19 D23:D26" xr:uid="{00000000-0002-0000-0000-000002000000}">
      <formula1>$B$46:$B$47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urineNormal">
                <anchor moveWithCells="1">
                  <from>
                    <xdr:col>6</xdr:col>
                    <xdr:colOff>476250</xdr:colOff>
                    <xdr:row>48</xdr:row>
                    <xdr:rowOff>0</xdr:rowOff>
                  </from>
                  <to>
                    <xdr:col>7</xdr:col>
                    <xdr:colOff>847725</xdr:colOff>
                    <xdr:row>50</xdr:row>
                    <xdr:rowOff>133350</xdr:rowOff>
                  </to>
                </anchor>
              </controlPr>
            </control>
          </mc:Choice>
        </mc:AlternateContent>
        <mc:AlternateContent xmlns:mc="http://schemas.openxmlformats.org/markup-compatibility/2006">
          <mc:Choice Requires="x14">
            <control shapeId="1038" r:id="rId5" name="Button 14">
              <controlPr defaultSize="0" print="0" autoFill="0" autoPict="0" macro="[0]!historyNormal">
                <anchor moveWithCells="1">
                  <from>
                    <xdr:col>7</xdr:col>
                    <xdr:colOff>9525</xdr:colOff>
                    <xdr:row>18</xdr:row>
                    <xdr:rowOff>28575</xdr:rowOff>
                  </from>
                  <to>
                    <xdr:col>7</xdr:col>
                    <xdr:colOff>866775</xdr:colOff>
                    <xdr:row>20</xdr:row>
                    <xdr:rowOff>123825</xdr:rowOff>
                  </to>
                </anchor>
              </controlPr>
            </control>
          </mc:Choice>
        </mc:AlternateContent>
        <mc:AlternateContent xmlns:mc="http://schemas.openxmlformats.org/markup-compatibility/2006">
          <mc:Choice Requires="x14">
            <control shapeId="1040" r:id="rId6" name="Button 16">
              <controlPr defaultSize="0" print="0" autoFill="0" autoPict="0" macro="[0]!clearTheForm">
                <anchor moveWithCells="1">
                  <from>
                    <xdr:col>6</xdr:col>
                    <xdr:colOff>466725</xdr:colOff>
                    <xdr:row>4</xdr:row>
                    <xdr:rowOff>28575</xdr:rowOff>
                  </from>
                  <to>
                    <xdr:col>7</xdr:col>
                    <xdr:colOff>847725</xdr:colOff>
                    <xdr:row>6</xdr:row>
                    <xdr:rowOff>95250</xdr:rowOff>
                  </to>
                </anchor>
              </controlPr>
            </control>
          </mc:Choice>
        </mc:AlternateContent>
        <mc:AlternateContent xmlns:mc="http://schemas.openxmlformats.org/markup-compatibility/2006">
          <mc:Choice Requires="x14">
            <control shapeId="1042" r:id="rId7" name="Button 18">
              <controlPr defaultSize="0" print="0" autoFill="0" autoPict="0" macro="[0]!examNormal">
                <anchor moveWithCells="1">
                  <from>
                    <xdr:col>7</xdr:col>
                    <xdr:colOff>0</xdr:colOff>
                    <xdr:row>33</xdr:row>
                    <xdr:rowOff>171450</xdr:rowOff>
                  </from>
                  <to>
                    <xdr:col>8</xdr:col>
                    <xdr:colOff>47625</xdr:colOff>
                    <xdr:row>36</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xWindow="687" yWindow="762" count="11">
        <x14:dataValidation type="list" allowBlank="1" showInputMessage="1" prompt="Enter or select a reason why this person requested a health check. _x000a_&quot;You requested this health check...&quot;" xr:uid="{00000000-0002-0000-0000-000003000000}">
          <x14:formula1>
            <xm:f>DropDownLists!$B$5:$B$8</xm:f>
          </x14:formula1>
          <xm:sqref>D17:D18</xm:sqref>
        </x14:dataValidation>
        <x14:dataValidation type="list" allowBlank="1" showInputMessage="1" prompt="Choose smoking status" xr:uid="{00000000-0002-0000-0000-000004000000}">
          <x14:formula1>
            <xm:f>DropDownLists!$B$19:$B$23</xm:f>
          </x14:formula1>
          <xm:sqref>D27</xm:sqref>
        </x14:dataValidation>
        <x14:dataValidation type="list" allowBlank="1" showInputMessage="1" prompt="select best description of alcohol consumption" xr:uid="{00000000-0002-0000-0000-000005000000}">
          <x14:formula1>
            <xm:f>DropDownLists!$B$26:$B$28</xm:f>
          </x14:formula1>
          <xm:sqref>D28</xm:sqref>
        </x14:dataValidation>
        <x14:dataValidation type="list" allowBlank="1" showInputMessage="1" prompt="select best description of exercise" xr:uid="{00000000-0002-0000-0000-000006000000}">
          <x14:formula1>
            <xm:f>DropDownLists!$B$31:$B$35</xm:f>
          </x14:formula1>
          <xm:sqref>D30:D31</xm:sqref>
        </x14:dataValidation>
        <x14:dataValidation type="list" allowBlank="1" showInputMessage="1" prompt="select standard normal exam findings, or specify if not." xr:uid="{00000000-0002-0000-0000-000007000000}">
          <x14:formula1>
            <xm:f>DropDownLists!$B$38:$B$39</xm:f>
          </x14:formula1>
          <xm:sqref>D42:D48</xm:sqref>
        </x14:dataValidation>
        <x14:dataValidation type="list" allowBlank="1" showInputMessage="1" prompt="Select Nil if nil signifcant, otherwise enter info later" xr:uid="{00000000-0002-0000-0000-000008000000}">
          <x14:formula1>
            <xm:f>DropDownLists!$B$47:$B$48</xm:f>
          </x14:formula1>
          <xm:sqref>D32:D33</xm:sqref>
        </x14:dataValidation>
        <x14:dataValidation type="list" allowBlank="1" showInputMessage="1" prompt="select findings" xr:uid="{00000000-0002-0000-0000-000009000000}">
          <x14:formula1>
            <xm:f>DropDownLists!$B$51:$B$57</xm:f>
          </x14:formula1>
          <xm:sqref>D49:D57</xm:sqref>
        </x14:dataValidation>
        <x14:dataValidation type="list" allowBlank="1" showInputMessage="1" prompt="Is this person known to have diabetes?" xr:uid="{00000000-0002-0000-0000-00000A000000}">
          <x14:formula1>
            <xm:f>DropDownLists!$B$60:$B$63</xm:f>
          </x14:formula1>
          <xm:sqref>D20</xm:sqref>
        </x14:dataValidation>
        <x14:dataValidation type="list" allowBlank="1" showInputMessage="1" prompt="Is this person taking medication for high cholesterol?" xr:uid="{00000000-0002-0000-0000-00000B000000}">
          <x14:formula1>
            <xm:f>DropDownLists!$B$70:$B$71</xm:f>
          </x14:formula1>
          <xm:sqref>D21</xm:sqref>
        </x14:dataValidation>
        <x14:dataValidation type="list" allowBlank="1" showInputMessage="1" prompt="Is this person taking medication for hypertension?" xr:uid="{00000000-0002-0000-0000-00000C000000}">
          <x14:formula1>
            <xm:f>DropDownLists!$B$66:$B$67</xm:f>
          </x14:formula1>
          <xm:sqref>D22</xm:sqref>
        </x14:dataValidation>
        <x14:dataValidation type="list" allowBlank="1" showInputMessage="1" showErrorMessage="1" prompt="If ECG was done, was it normal?" xr:uid="{00000000-0002-0000-0000-00000D000000}">
          <x14:formula1>
            <xm:f>'C:\Users\Nick Berry\Dropbox\Apps\TIMC\System files\backups\[HStemplate 16oct23.xlsm]DropDownLists'!#REF!</xm:f>
          </x14:formula1>
          <xm:sqref>D153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66"/>
  <sheetViews>
    <sheetView topLeftCell="A69" workbookViewId="0">
      <pane xSplit="1" topLeftCell="B1" activePane="topRight" state="frozen"/>
      <selection activeCell="A8" sqref="A8"/>
      <selection pane="topRight" activeCell="H75" sqref="H75"/>
    </sheetView>
  </sheetViews>
  <sheetFormatPr defaultRowHeight="15" x14ac:dyDescent="0.25"/>
  <cols>
    <col min="1" max="1" width="3.140625" customWidth="1"/>
    <col min="2" max="2" width="9" style="28" customWidth="1"/>
    <col min="3" max="3" width="15.85546875" style="29" customWidth="1"/>
    <col min="4" max="4" width="8" style="28" customWidth="1"/>
    <col min="5" max="5" width="62.28515625" style="29" customWidth="1"/>
    <col min="6" max="6" width="19.140625" style="49" customWidth="1"/>
    <col min="7" max="7" width="15.85546875" style="40" customWidth="1"/>
    <col min="8" max="8" width="30.28515625" style="29" customWidth="1"/>
  </cols>
  <sheetData>
    <row r="1" spans="2:8" x14ac:dyDescent="0.25">
      <c r="F1" s="28"/>
      <c r="G1" s="29" t="str">
        <f>IF(AND(F1&lt;&gt;"",H1&lt;&gt;""),H1,"")</f>
        <v/>
      </c>
    </row>
    <row r="2" spans="2:8" s="59" customFormat="1" ht="21" x14ac:dyDescent="0.25">
      <c r="B2" s="56" t="s">
        <v>178</v>
      </c>
      <c r="C2" s="57"/>
      <c r="D2" s="58"/>
      <c r="E2" s="57"/>
      <c r="F2" s="56"/>
      <c r="G2" s="57" t="str">
        <f>IF(AND(F2&lt;&gt;"",H2&lt;&gt;""),H2,"")</f>
        <v/>
      </c>
      <c r="H2" s="57"/>
    </row>
    <row r="3" spans="2:8" x14ac:dyDescent="0.25">
      <c r="B3" s="30"/>
      <c r="C3" s="31"/>
      <c r="D3" s="30"/>
      <c r="E3" s="31"/>
      <c r="F3" s="38" t="str">
        <f>IF(COUNTA(examination_values)&lt;&gt;0,"Physical examination","")</f>
        <v/>
      </c>
      <c r="G3" s="31" t="str">
        <f t="shared" ref="G3:G67" si="0">IF(AND(F3&lt;&gt;"",H3&lt;&gt;""),H3,"")</f>
        <v/>
      </c>
      <c r="H3" s="31"/>
    </row>
    <row r="4" spans="2:8" x14ac:dyDescent="0.25">
      <c r="B4" s="28" t="s">
        <v>198</v>
      </c>
      <c r="C4" s="29" t="s">
        <v>201</v>
      </c>
      <c r="F4" s="53" t="str">
        <f>IF(AND(Data!D35&lt;&gt;"",Data!D36&lt;&gt;""), "On physical examination, your height is "&amp;Data!D35&amp;" cm and weight "&amp;Data!D36&amp;" kg, giving a body mass index (BMI) of "&amp;ROUND(((Data!D36)/((Data!D35/100)^2)),1)&amp;"kg/m2.","")</f>
        <v/>
      </c>
      <c r="G4" s="54" t="str">
        <f t="shared" si="0"/>
        <v/>
      </c>
    </row>
    <row r="5" spans="2:8" x14ac:dyDescent="0.25">
      <c r="B5" s="28" t="s">
        <v>197</v>
      </c>
      <c r="F5" s="53" t="str">
        <f>IF(AND(Data!D37&lt;&gt;"",Data!D38&lt;&gt;""),"Blood pressure was "&amp;Calculations!D10&amp;" at "&amp;Calculations!D9&amp;". This was taken seated, with a standard adult cuff, after allowing some time for blood pressure to settle.","")</f>
        <v/>
      </c>
      <c r="G5" s="54" t="str">
        <f t="shared" si="0"/>
        <v/>
      </c>
    </row>
    <row r="6" spans="2:8" x14ac:dyDescent="0.25">
      <c r="B6" s="28" t="s">
        <v>542</v>
      </c>
      <c r="F6" s="53" t="str">
        <f>IF(examination&lt;&gt;"",examination,"")</f>
        <v/>
      </c>
      <c r="G6" s="54"/>
    </row>
    <row r="7" spans="2:8" x14ac:dyDescent="0.25">
      <c r="B7" t="s">
        <v>35</v>
      </c>
      <c r="F7" s="53" t="str">
        <f>IF(Data!D42&lt;&gt;"",IF(Data!D42="normal","Cardiovascular examination was normal."&amp;" Resting heart rate was "&amp;Data!D39&amp;" beats per minute."&amp;" Your pulse rhythm is regular, and heart sounds are normal with no heart murmurs heard.",Data!D42),"")</f>
        <v/>
      </c>
      <c r="G7" s="54" t="str">
        <f t="shared" si="0"/>
        <v/>
      </c>
    </row>
    <row r="8" spans="2:8" x14ac:dyDescent="0.25">
      <c r="B8" t="s">
        <v>36</v>
      </c>
      <c r="F8" s="53" t="str">
        <f>IF(Data!D43&lt;&gt;"",IF(Data!D43="normal","Chest examination is normal. There is good air entry into both lungs, which are free from crackles, wheezes or other abnormal sounds. "&amp;IF(Data!D40&gt;=Data!F40,"Your pulse oxygen level is normal at "&amp;Data!F40&amp;"%.",""),Data!D43),"")</f>
        <v/>
      </c>
      <c r="G8" s="54" t="str">
        <f t="shared" si="0"/>
        <v/>
      </c>
    </row>
    <row r="9" spans="2:8" x14ac:dyDescent="0.25">
      <c r="B9" t="s">
        <v>37</v>
      </c>
      <c r="F9" s="53" t="str">
        <f>IF(Data!D44&lt;&gt;"",IF(Data!D44="normal","Abdominal examination is normal, with no enlargement of abdominal organs, no masses, and no hernias. Rectal examination was not performed today.",Data!D44),"")</f>
        <v/>
      </c>
      <c r="G9" s="54" t="str">
        <f t="shared" si="0"/>
        <v/>
      </c>
    </row>
    <row r="10" spans="2:8" x14ac:dyDescent="0.25">
      <c r="B10" t="s">
        <v>40</v>
      </c>
      <c r="F10" s="53" t="str">
        <f>IF(Data!D45&lt;&gt;"",IF(Data!D45="normal","Spinal alignment is normal, and flexibility is good. You have no obvious significant bone or joint deformities or restrictions, although we did not examine the individual joints in detail.",Data!D45),"")</f>
        <v/>
      </c>
      <c r="G10" s="54" t="str">
        <f t="shared" si="0"/>
        <v/>
      </c>
    </row>
    <row r="11" spans="2:8" x14ac:dyDescent="0.25">
      <c r="B11" t="s">
        <v>39</v>
      </c>
      <c r="F11" s="53" t="str">
        <f>IF(Data!D46&lt;&gt;"",IF(Data!D46="normal","On inspection of the skin of the head, face, neck, torso, arms and legs there are no suspicious moles or other areas of concern.",Data!D46),"")</f>
        <v/>
      </c>
      <c r="G11" s="54" t="str">
        <f t="shared" si="0"/>
        <v/>
      </c>
    </row>
    <row r="12" spans="2:8" x14ac:dyDescent="0.25">
      <c r="B12" t="s">
        <v>187</v>
      </c>
      <c r="F12" s="53" t="str">
        <f>IF(AND(Data!D47&lt;&gt;"",Data!D47&lt;&gt;"not done"),IF(Data!D47="normal","Rectal examination was normal with no obvious hemorrhoids. The prostate gland was average sized, and felt normal in that it was regular in texture with no nodules.",Data!D47),"")</f>
        <v/>
      </c>
      <c r="G12" s="54" t="str">
        <f t="shared" si="0"/>
        <v/>
      </c>
    </row>
    <row r="13" spans="2:8" x14ac:dyDescent="0.25">
      <c r="B13" s="28" t="s">
        <v>199</v>
      </c>
      <c r="F13" s="55" t="str">
        <f>IF(Calculations!G11="done","Urine analysis","")</f>
        <v/>
      </c>
      <c r="G13" s="54" t="str">
        <f t="shared" si="0"/>
        <v/>
      </c>
    </row>
    <row r="14" spans="2:8" x14ac:dyDescent="0.25">
      <c r="F14" s="53" t="str">
        <f>IF(F13&lt;&gt;"","Urine analysis was as follows:","")</f>
        <v/>
      </c>
      <c r="G14" s="54" t="str">
        <f t="shared" si="0"/>
        <v/>
      </c>
    </row>
    <row r="15" spans="2:8" x14ac:dyDescent="0.25">
      <c r="F15" s="53" t="str">
        <f>IF(Calculations!$G$11="not done","",Data!C49&amp;": "&amp;Data!D49)</f>
        <v/>
      </c>
      <c r="G15" s="54" t="str">
        <f t="shared" si="0"/>
        <v/>
      </c>
    </row>
    <row r="16" spans="2:8" x14ac:dyDescent="0.25">
      <c r="F16" s="53" t="str">
        <f>IF(Calculations!$G$11="not done","",Data!C50&amp;": "&amp;Data!D50)</f>
        <v/>
      </c>
      <c r="G16" s="54" t="str">
        <f t="shared" si="0"/>
        <v/>
      </c>
    </row>
    <row r="17" spans="2:8" x14ac:dyDescent="0.25">
      <c r="F17" s="53" t="str">
        <f>IF(Calculations!$G$11="not done","",Data!C51&amp;": "&amp;Data!D51)</f>
        <v/>
      </c>
      <c r="G17" s="54" t="str">
        <f t="shared" si="0"/>
        <v/>
      </c>
    </row>
    <row r="18" spans="2:8" x14ac:dyDescent="0.25">
      <c r="F18" s="53" t="str">
        <f>IF(Calculations!$G$11="not done","",Data!C52&amp;": "&amp;Data!D52)</f>
        <v/>
      </c>
      <c r="G18" s="54" t="str">
        <f t="shared" si="0"/>
        <v/>
      </c>
    </row>
    <row r="19" spans="2:8" x14ac:dyDescent="0.25">
      <c r="F19" s="53" t="str">
        <f>IF(Calculations!$G$11="not done","",Data!C53&amp;": "&amp;Data!D53)</f>
        <v/>
      </c>
      <c r="G19" s="54" t="str">
        <f t="shared" si="0"/>
        <v/>
      </c>
    </row>
    <row r="20" spans="2:8" x14ac:dyDescent="0.25">
      <c r="F20" s="53" t="str">
        <f>IF(Calculations!$G$11="not done","",Data!C54&amp;": "&amp;Data!D54)</f>
        <v/>
      </c>
      <c r="G20" s="54" t="str">
        <f t="shared" si="0"/>
        <v/>
      </c>
    </row>
    <row r="21" spans="2:8" x14ac:dyDescent="0.25">
      <c r="F21" s="53" t="str">
        <f>IF(Calculations!$G$11="not done","",Data!C55&amp;": "&amp;Data!D55)</f>
        <v/>
      </c>
      <c r="G21" s="54" t="str">
        <f t="shared" si="0"/>
        <v/>
      </c>
    </row>
    <row r="22" spans="2:8" x14ac:dyDescent="0.25">
      <c r="F22" s="53" t="str">
        <f>IF(Calculations!$G$11="not done","",Data!C56&amp;": "&amp;Data!D56)</f>
        <v/>
      </c>
      <c r="G22" s="54"/>
    </row>
    <row r="23" spans="2:8" x14ac:dyDescent="0.25">
      <c r="F23" s="53" t="str">
        <f>IF(Calculations!$G$11="not done","",Data!C57&amp;": "&amp;Data!D57)</f>
        <v/>
      </c>
      <c r="G23" s="54" t="str">
        <f t="shared" si="0"/>
        <v/>
      </c>
    </row>
    <row r="24" spans="2:8" ht="30" x14ac:dyDescent="0.25">
      <c r="B24" s="38" t="s">
        <v>198</v>
      </c>
      <c r="C24" s="39" t="s">
        <v>314</v>
      </c>
      <c r="D24" s="38" t="s">
        <v>294</v>
      </c>
      <c r="E24" s="39" t="s">
        <v>106</v>
      </c>
      <c r="F24" s="38" t="str">
        <f>IF(AND(Data!D35&lt;&gt;"",Data!D36&lt;&gt;""),"Body Mass Index","")</f>
        <v/>
      </c>
      <c r="G24" s="31" t="str">
        <f t="shared" si="0"/>
        <v/>
      </c>
      <c r="H24" s="39" t="s">
        <v>400</v>
      </c>
    </row>
    <row r="25" spans="2:8" x14ac:dyDescent="0.25">
      <c r="C25" s="37" t="s">
        <v>315</v>
      </c>
      <c r="D25" s="36" t="b">
        <f>TRUE</f>
        <v>1</v>
      </c>
      <c r="E25" s="37" t="e">
        <f>Calculations!B12&amp;", "&amp;Calculations!D12</f>
        <v>#DIV/0!</v>
      </c>
      <c r="F25" s="50" t="str">
        <f t="shared" ref="F25:F31" si="1">IF(AND(BMI_findings&lt;&gt;"",D25=TRUE),E25,"")</f>
        <v/>
      </c>
      <c r="G25" s="40" t="str">
        <f t="shared" si="0"/>
        <v/>
      </c>
    </row>
    <row r="26" spans="2:8" ht="60" x14ac:dyDescent="0.25">
      <c r="C26" s="29" t="s">
        <v>295</v>
      </c>
      <c r="D26" s="28" t="b">
        <f>TRUE</f>
        <v>1</v>
      </c>
      <c r="E26" s="29" t="s">
        <v>296</v>
      </c>
      <c r="F26" s="49" t="str">
        <f t="shared" si="1"/>
        <v/>
      </c>
      <c r="G26" s="40" t="str">
        <f t="shared" si="0"/>
        <v/>
      </c>
    </row>
    <row r="27" spans="2:8" ht="105" x14ac:dyDescent="0.25">
      <c r="C27" s="29" t="s">
        <v>87</v>
      </c>
      <c r="D27" s="28" t="e" cm="1">
        <f t="array" ref="D27">IF(BMI_value&lt;18,TRUE,FALSE)</f>
        <v>#DIV/0!</v>
      </c>
      <c r="E27" s="29" t="s">
        <v>298</v>
      </c>
      <c r="F27" s="49" t="e">
        <f t="shared" si="1"/>
        <v>#DIV/0!</v>
      </c>
      <c r="G27" s="40" t="e">
        <f t="shared" si="0"/>
        <v>#DIV/0!</v>
      </c>
    </row>
    <row r="28" spans="2:8" ht="60" x14ac:dyDescent="0.25">
      <c r="C28" s="29" t="s">
        <v>88</v>
      </c>
      <c r="D28" s="28" t="e">
        <f>IF(AND(BMI_value&gt;=18,BMI_value&lt;25),TRUE,FALSE)</f>
        <v>#DIV/0!</v>
      </c>
      <c r="E28" s="29" t="s">
        <v>309</v>
      </c>
      <c r="F28" s="49" t="e">
        <f t="shared" si="1"/>
        <v>#DIV/0!</v>
      </c>
      <c r="G28" s="40" t="e">
        <f t="shared" si="0"/>
        <v>#DIV/0!</v>
      </c>
    </row>
    <row r="29" spans="2:8" ht="75" x14ac:dyDescent="0.25">
      <c r="C29" s="29" t="s">
        <v>89</v>
      </c>
      <c r="D29" s="28" t="e">
        <f>IF(AND(BMI_value&gt;=25,BMI_value&lt;30),TRUE,FALSE)</f>
        <v>#DIV/0!</v>
      </c>
      <c r="E29" s="29" t="s">
        <v>487</v>
      </c>
      <c r="F29" s="49" t="e">
        <f t="shared" si="1"/>
        <v>#DIV/0!</v>
      </c>
      <c r="G29" s="40" t="e">
        <f t="shared" si="0"/>
        <v>#DIV/0!</v>
      </c>
    </row>
    <row r="30" spans="2:8" ht="60" x14ac:dyDescent="0.25">
      <c r="C30" s="29" t="s">
        <v>90</v>
      </c>
      <c r="D30" s="28" t="e">
        <f>IF(BMI_value&gt;=30,TRUE,FALSE)</f>
        <v>#DIV/0!</v>
      </c>
      <c r="E30" s="29" t="s">
        <v>300</v>
      </c>
      <c r="F30" s="49" t="e">
        <f t="shared" si="1"/>
        <v>#DIV/0!</v>
      </c>
      <c r="G30" s="40" t="e">
        <f t="shared" si="0"/>
        <v>#DIV/0!</v>
      </c>
    </row>
    <row r="31" spans="2:8" ht="105" x14ac:dyDescent="0.25">
      <c r="C31" s="29" t="s">
        <v>297</v>
      </c>
      <c r="D31" s="28" t="b">
        <f>TRUE</f>
        <v>1</v>
      </c>
      <c r="E31" s="29" t="s">
        <v>486</v>
      </c>
      <c r="F31" s="49" t="str">
        <f t="shared" si="1"/>
        <v/>
      </c>
      <c r="G31" s="40" t="str">
        <f t="shared" si="0"/>
        <v/>
      </c>
    </row>
    <row r="32" spans="2:8" ht="60" x14ac:dyDescent="0.25">
      <c r="C32" s="29" t="s">
        <v>301</v>
      </c>
      <c r="D32" s="28" t="e">
        <f>IF(BMI_value&gt;=30,TRUE,FALSE)</f>
        <v>#DIV/0!</v>
      </c>
      <c r="E32" s="29" t="s">
        <v>313</v>
      </c>
      <c r="G32" s="40" t="str">
        <f t="shared" si="0"/>
        <v/>
      </c>
    </row>
    <row r="33" spans="2:8" x14ac:dyDescent="0.25">
      <c r="G33" s="40" t="str">
        <f t="shared" si="0"/>
        <v/>
      </c>
    </row>
    <row r="34" spans="2:8" ht="30" x14ac:dyDescent="0.25">
      <c r="B34" s="38" t="s">
        <v>197</v>
      </c>
      <c r="C34" s="39" t="s">
        <v>316</v>
      </c>
      <c r="D34" s="38" t="s">
        <v>294</v>
      </c>
      <c r="E34" s="39" t="s">
        <v>317</v>
      </c>
      <c r="F34" s="38" t="str">
        <f>IF(AND(Data!D37&lt;&gt;"",Data!D38&lt;&gt;""),"Blood Pressure","")</f>
        <v/>
      </c>
      <c r="G34" s="31" t="str">
        <f t="shared" si="0"/>
        <v/>
      </c>
      <c r="H34" s="39"/>
    </row>
    <row r="35" spans="2:8" x14ac:dyDescent="0.25">
      <c r="C35" s="37" t="s">
        <v>203</v>
      </c>
      <c r="D35" s="36" t="b">
        <f>TRUE</f>
        <v>1</v>
      </c>
      <c r="E35" s="37" t="str">
        <f>Calculations!D9&amp;" mmHg, "&amp;Calculations!F9</f>
        <v>0/0 mmHg, normal</v>
      </c>
      <c r="F35" s="50" t="str">
        <f>IF(AND(bp_findings&lt;&gt;"",D35=TRUE),E35,"")</f>
        <v/>
      </c>
      <c r="G35" s="40" t="str">
        <f t="shared" si="0"/>
        <v/>
      </c>
    </row>
    <row r="36" spans="2:8" ht="90" x14ac:dyDescent="0.25">
      <c r="C36" s="29" t="s">
        <v>319</v>
      </c>
      <c r="D36" s="28" t="b">
        <f>TRUE</f>
        <v>1</v>
      </c>
      <c r="E36" s="29" t="s">
        <v>318</v>
      </c>
      <c r="F36" s="49" t="str">
        <f>IF(AND(bp_findings&lt;&gt;"",D36=TRUE),E36,"")</f>
        <v/>
      </c>
      <c r="G36" s="40" t="str">
        <f t="shared" si="0"/>
        <v/>
      </c>
    </row>
    <row r="37" spans="2:8" ht="75" x14ac:dyDescent="0.25">
      <c r="C37" s="29" t="s">
        <v>103</v>
      </c>
      <c r="D37" s="28" t="b">
        <f>IF(AND(BP_systolic&lt;=140,BP_diastolic&lt;90),TRUE,FALSE)</f>
        <v>1</v>
      </c>
      <c r="E37" s="29" t="s">
        <v>102</v>
      </c>
      <c r="F37" s="49" t="str">
        <f>IF(AND(bp_findings&lt;&gt;"",D37=TRUE),E37,"")</f>
        <v/>
      </c>
      <c r="G37" s="40" t="str">
        <f t="shared" si="0"/>
        <v/>
      </c>
    </row>
    <row r="38" spans="2:8" ht="135" x14ac:dyDescent="0.25">
      <c r="C38" s="29" t="s">
        <v>193</v>
      </c>
      <c r="D38" s="28" t="b">
        <f>IF(OR(BP_systolic&gt;140,BP_diastolic&gt;90),TRUE,FALSE)</f>
        <v>0</v>
      </c>
      <c r="E38" s="29" t="s">
        <v>320</v>
      </c>
      <c r="F38" s="49" t="str">
        <f>IF(AND(bp_findings&lt;&gt;"",D38=TRUE),E38,"")</f>
        <v/>
      </c>
      <c r="G38" s="40" t="str">
        <f t="shared" si="0"/>
        <v/>
      </c>
      <c r="H38" s="29" t="s">
        <v>350</v>
      </c>
    </row>
    <row r="39" spans="2:8" ht="135" x14ac:dyDescent="0.25">
      <c r="C39" s="29" t="s">
        <v>192</v>
      </c>
      <c r="D39" s="28" t="b">
        <f>IF(OR(BP_systolic&gt;140,BP_diastolic&gt;90),TRUE,FALSE)</f>
        <v>0</v>
      </c>
      <c r="E39" s="29" t="s">
        <v>321</v>
      </c>
      <c r="F39" s="49" t="str">
        <f>IF(AND(bp_findings&lt;&gt;"",D39=TRUE),E39,"")</f>
        <v/>
      </c>
      <c r="G39" s="40" t="str">
        <f t="shared" si="0"/>
        <v/>
      </c>
      <c r="H39" s="29" t="s">
        <v>349</v>
      </c>
    </row>
    <row r="40" spans="2:8" x14ac:dyDescent="0.25">
      <c r="F40" s="50"/>
      <c r="G40" s="40" t="str">
        <f t="shared" si="0"/>
        <v/>
      </c>
    </row>
    <row r="41" spans="2:8" x14ac:dyDescent="0.25">
      <c r="B41" s="35" t="s">
        <v>286</v>
      </c>
      <c r="G41" s="40" t="str">
        <f t="shared" si="0"/>
        <v/>
      </c>
    </row>
    <row r="42" spans="2:8" x14ac:dyDescent="0.25">
      <c r="B42" s="30" t="s">
        <v>110</v>
      </c>
      <c r="C42" s="39"/>
      <c r="D42" s="38" t="s">
        <v>325</v>
      </c>
      <c r="E42" s="39" t="s">
        <v>106</v>
      </c>
      <c r="F42" s="38" t="str">
        <f>IF(COUNTIF(Data!B:B,Lipids_label)&lt;&gt;0,"Lipid Profile","")</f>
        <v>Lipid Profile</v>
      </c>
      <c r="G42" s="31" t="str">
        <f t="shared" si="0"/>
        <v/>
      </c>
      <c r="H42" s="39"/>
    </row>
    <row r="43" spans="2:8" x14ac:dyDescent="0.25">
      <c r="C43" s="37" t="s">
        <v>205</v>
      </c>
      <c r="D43" s="36" t="b">
        <f>IF(Data!D61&lt;&gt;"",TRUE,FALSE)</f>
        <v>0</v>
      </c>
      <c r="E43" s="37" t="str">
        <f>Calculations!B16&amp;" "&amp;Calculations!D16&amp;", "&amp;Calculations!F16&amp;"."</f>
        <v>Total cholesterol 0 mmol/L, normal.</v>
      </c>
      <c r="F43" s="50" t="str">
        <f t="shared" ref="F43:F58" si="2">IF(AND(Lipid_findings&lt;&gt;"",D43=TRUE),E43,"")</f>
        <v/>
      </c>
      <c r="G43" s="40" t="str">
        <f t="shared" si="0"/>
        <v/>
      </c>
    </row>
    <row r="44" spans="2:8" x14ac:dyDescent="0.25">
      <c r="C44" s="37" t="s">
        <v>206</v>
      </c>
      <c r="D44" s="36" t="b">
        <f>IF(Data!D62&lt;&gt;"",TRUE,FALSE)</f>
        <v>0</v>
      </c>
      <c r="E44" s="37" t="str">
        <f>Calculations!B17&amp;" "&amp;Calculations!D17&amp;", "&amp;Calculations!F17&amp;"."</f>
        <v>HDL cholesterol 0 mmol/L, low.</v>
      </c>
      <c r="F44" s="50" t="str">
        <f t="shared" si="2"/>
        <v/>
      </c>
      <c r="G44" s="40" t="str">
        <f t="shared" si="0"/>
        <v/>
      </c>
    </row>
    <row r="45" spans="2:8" ht="30" x14ac:dyDescent="0.25">
      <c r="C45" s="37" t="s">
        <v>208</v>
      </c>
      <c r="D45" s="36" t="b">
        <f>IF(Data!D63&lt;&gt;"",TRUE,FALSE)</f>
        <v>0</v>
      </c>
      <c r="E45" s="37" t="str">
        <f>Calculations!B18&amp;" "&amp;Calculations!D18&amp;", "&amp;Calculations!F18&amp;"."</f>
        <v>Triglycerides 0 mmol/L, normal.</v>
      </c>
      <c r="F45" s="50" t="str">
        <f t="shared" si="2"/>
        <v/>
      </c>
      <c r="G45" s="40" t="str">
        <f t="shared" si="0"/>
        <v/>
      </c>
    </row>
    <row r="46" spans="2:8" x14ac:dyDescent="0.25">
      <c r="C46" s="37" t="s">
        <v>207</v>
      </c>
      <c r="D46" s="36" t="b">
        <f>IF(Data!D64&lt;&gt;"",TRUE,FALSE)</f>
        <v>0</v>
      </c>
      <c r="E46" s="37" t="str">
        <f>Calculations!B19&amp;" "&amp;Calculations!D19&amp;", "&amp;Calculations!F19&amp;"."</f>
        <v>LDL cholesterol 0 mmol/L, normal.</v>
      </c>
      <c r="F46" s="50" t="str">
        <f t="shared" si="2"/>
        <v/>
      </c>
      <c r="G46" s="40" t="str">
        <f t="shared" si="0"/>
        <v/>
      </c>
    </row>
    <row r="47" spans="2:8" x14ac:dyDescent="0.25">
      <c r="C47" s="37" t="s">
        <v>322</v>
      </c>
      <c r="D47" s="36" t="b">
        <f>IF(Calculations!C20&lt;&gt;"",TRUE,FALSE)</f>
        <v>1</v>
      </c>
      <c r="E47" s="37" t="str">
        <f>Calculations!B20&amp;" "&amp;Calculations!D20</f>
        <v>Non-HDL cholesterol 0 mmol/L</v>
      </c>
      <c r="F47" s="50" t="str">
        <f t="shared" si="2"/>
        <v>Non-HDL cholesterol 0 mmol/L</v>
      </c>
      <c r="G47" s="40" t="str">
        <f t="shared" si="0"/>
        <v/>
      </c>
    </row>
    <row r="48" spans="2:8" ht="30" x14ac:dyDescent="0.25">
      <c r="C48" s="37" t="s">
        <v>323</v>
      </c>
      <c r="D48" s="36" t="e">
        <f>IF(Calculations!C21&lt;&gt;"",TRUE,FALSE)</f>
        <v>#DIV/0!</v>
      </c>
      <c r="E48" s="37" t="e">
        <f>Calculations!B21&amp;" = "&amp;Calculations!D21</f>
        <v>#DIV/0!</v>
      </c>
      <c r="F48" s="50" t="e">
        <f t="shared" si="2"/>
        <v>#DIV/0!</v>
      </c>
      <c r="G48" s="40" t="e">
        <f t="shared" si="0"/>
        <v>#DIV/0!</v>
      </c>
    </row>
    <row r="49" spans="2:8" ht="90" x14ac:dyDescent="0.25">
      <c r="C49" s="29" t="s">
        <v>204</v>
      </c>
      <c r="D49" s="28" t="b">
        <f>TRUE</f>
        <v>1</v>
      </c>
      <c r="E49" s="29" t="s">
        <v>345</v>
      </c>
      <c r="F49" s="49" t="str">
        <f t="shared" si="2"/>
        <v>The lipid profile looks at the levels of various types of fats in the blood: triglycerides, and different types of cholesterol. HDL cholesterol is sometimes referred to as “good cholesterol” as it can protect against heart disease. LDL cholesterol is sometimes referred to as “bad cholesterol” as raised levels can increase the risk for heart disease.</v>
      </c>
      <c r="G49" s="40" t="str">
        <f t="shared" si="0"/>
        <v/>
      </c>
    </row>
    <row r="50" spans="2:8" ht="90" x14ac:dyDescent="0.25">
      <c r="C50" s="29" t="s">
        <v>346</v>
      </c>
      <c r="D50" s="28" t="b">
        <f>IF(AND(HDL_Cholesterol&lt;=0.9,LDL_Cholesterol&lt;=3.4),TRUE,FALSE)</f>
        <v>1</v>
      </c>
      <c r="E50" s="29" t="s">
        <v>347</v>
      </c>
      <c r="F50" s="49" t="str">
        <f t="shared" si="2"/>
        <v>Your lipid profile is interesting. The LDL cholesterol is in the healthy range. However the HDL (or "good cholesterol") is low. Maintaining a healthy HDL cholesterol level is important in preventing the build up of deposits called atheroma on artery walls, and reduces the risk of developing heart disease in the future. Low HDL cholesterol levels can often suggest some scope for improvements in the diet.</v>
      </c>
      <c r="G50" s="40" t="str">
        <f t="shared" si="0"/>
        <v/>
      </c>
    </row>
    <row r="51" spans="2:8" ht="75" x14ac:dyDescent="0.25">
      <c r="C51" s="29" t="s">
        <v>337</v>
      </c>
      <c r="D51" s="28" t="b">
        <f>IF(AND(HDL_Cholesterol&gt;=1,HDL_Cholesterol&lt;=1.4,LDL_Cholesterol&lt;=3.4),TRUE,FALSE)</f>
        <v>0</v>
      </c>
      <c r="E51" s="29" t="s">
        <v>340</v>
      </c>
      <c r="F51" s="49" t="str">
        <f t="shared" si="2"/>
        <v/>
      </c>
      <c r="G51" s="40" t="str">
        <f t="shared" si="0"/>
        <v/>
      </c>
    </row>
    <row r="52" spans="2:8" ht="75" x14ac:dyDescent="0.25">
      <c r="C52" s="29" t="s">
        <v>338</v>
      </c>
      <c r="D52" s="28" t="b">
        <f>IF(AND(HDL_Cholesterol&gt;=1.5,LDL_Cholesterol&lt;=3.4),TRUE,FALSE)</f>
        <v>0</v>
      </c>
      <c r="E52" s="29" t="s">
        <v>563</v>
      </c>
      <c r="F52" s="49" t="str">
        <f t="shared" si="2"/>
        <v/>
      </c>
      <c r="G52" s="40" t="str">
        <f t="shared" si="0"/>
        <v/>
      </c>
    </row>
    <row r="53" spans="2:8" ht="60" x14ac:dyDescent="0.25">
      <c r="C53" s="29" t="s">
        <v>330</v>
      </c>
      <c r="D53" s="28" t="b">
        <f>IF(AND(HDL_Cholesterol&gt;=1,HDL_Cholesterol&lt;=1.4,LDL_Cholesterol&gt;=3.5,LDL_Cholesterol&lt;=4.9),TRUE,FALSE)</f>
        <v>0</v>
      </c>
      <c r="E53" s="29" t="s">
        <v>329</v>
      </c>
      <c r="F53" s="49" t="str">
        <f t="shared" si="2"/>
        <v/>
      </c>
      <c r="G53" s="40" t="str">
        <f t="shared" si="0"/>
        <v/>
      </c>
    </row>
    <row r="54" spans="2:8" ht="45" x14ac:dyDescent="0.25">
      <c r="C54" s="29" t="s">
        <v>331</v>
      </c>
      <c r="D54" s="28" t="b">
        <f>IF(AND(HDL_Cholesterol&gt;=1,HDL_Cholesterol&lt;=1.4,LDL_Cholesterol&gt;=5),TRUE,FALSE)</f>
        <v>0</v>
      </c>
      <c r="E54" s="29" t="s">
        <v>328</v>
      </c>
      <c r="F54" s="49" t="str">
        <f t="shared" si="2"/>
        <v/>
      </c>
      <c r="G54" s="40" t="str">
        <f t="shared" si="0"/>
        <v/>
      </c>
    </row>
    <row r="55" spans="2:8" ht="45" x14ac:dyDescent="0.25">
      <c r="C55" s="29" t="s">
        <v>332</v>
      </c>
      <c r="D55" s="28" t="b">
        <f>IF(AND(HDL_Cholesterol&gt;=1.5,LDL_Cholesterol&gt;=3.5,LDL_Cholesterol&lt;=4.9),TRUE,FALSE)</f>
        <v>0</v>
      </c>
      <c r="E55" s="29" t="s">
        <v>327</v>
      </c>
      <c r="F55" s="49" t="str">
        <f t="shared" si="2"/>
        <v/>
      </c>
      <c r="G55" s="40" t="str">
        <f t="shared" si="0"/>
        <v/>
      </c>
    </row>
    <row r="56" spans="2:8" ht="45" x14ac:dyDescent="0.25">
      <c r="C56" s="29" t="s">
        <v>333</v>
      </c>
      <c r="D56" s="28" t="b">
        <f>IF(AND(HDL_Cholesterol&gt;=1.5,LDL_Cholesterol&gt;=5),TRUE,FALSE)</f>
        <v>0</v>
      </c>
      <c r="E56" s="29" t="s">
        <v>334</v>
      </c>
      <c r="F56" s="49" t="str">
        <f t="shared" si="2"/>
        <v/>
      </c>
      <c r="G56" s="40" t="str">
        <f t="shared" si="0"/>
        <v/>
      </c>
    </row>
    <row r="57" spans="2:8" ht="30" x14ac:dyDescent="0.25">
      <c r="C57" s="29" t="s">
        <v>335</v>
      </c>
      <c r="D57" s="28" t="b">
        <f>IF(AND(Total_Cholesterol&gt;=9,Non_HDL_cholesterol&lt;=7.5),TRUE,FALSE)</f>
        <v>0</v>
      </c>
      <c r="E57" s="29" t="s">
        <v>336</v>
      </c>
      <c r="F57" s="49" t="str">
        <f t="shared" si="2"/>
        <v/>
      </c>
      <c r="G57" s="40" t="str">
        <f t="shared" si="0"/>
        <v/>
      </c>
    </row>
    <row r="58" spans="2:8" ht="90" x14ac:dyDescent="0.25">
      <c r="C58" s="29" t="s">
        <v>190</v>
      </c>
      <c r="D58" s="28" t="b">
        <f>TRUE</f>
        <v>1</v>
      </c>
      <c r="E58" s="29" t="s">
        <v>195</v>
      </c>
      <c r="F58" s="49" t="str">
        <f t="shared" si="2"/>
        <v>Ways to maintain a healthy lipid profile include exercising regularly and maintaining a healthy body weight. It’s best to choose high fibre foods such as fruit, vegetables, and unsalted nuts; and avoid saturated fats and trans-fats found in foods like butter, cheese, cakes and biscuits. If you drink alcohol, do so in moderation, as alcohol can raise triglycerides and cholesterol levels.</v>
      </c>
      <c r="G58" s="40" t="str">
        <f t="shared" si="0"/>
        <v/>
      </c>
    </row>
    <row r="59" spans="2:8" ht="45" x14ac:dyDescent="0.25">
      <c r="C59" s="29" t="s">
        <v>351</v>
      </c>
      <c r="D59" s="28" t="b">
        <f>IF(LDL_Cholesterol&gt;=3.4,TRUE,FALSE)</f>
        <v>0</v>
      </c>
      <c r="G59" s="40" t="str">
        <f t="shared" si="0"/>
        <v/>
      </c>
      <c r="H59" s="29" t="s">
        <v>352</v>
      </c>
    </row>
    <row r="60" spans="2:8" ht="120" x14ac:dyDescent="0.25">
      <c r="C60" s="29" t="s">
        <v>326</v>
      </c>
      <c r="D60" s="28" t="b">
        <f>IF(LDL_Cholesterol&gt;=5,TRUE,FALSE)</f>
        <v>0</v>
      </c>
      <c r="E60" s="29" t="s">
        <v>341</v>
      </c>
      <c r="F60" s="49" t="str">
        <f>IF(AND(Lipid_findings&lt;&gt;"",D60=TRUE),E60,"")</f>
        <v/>
      </c>
      <c r="G60" s="40" t="str">
        <f t="shared" si="0"/>
        <v/>
      </c>
    </row>
    <row r="61" spans="2:8" x14ac:dyDescent="0.25">
      <c r="G61" s="40" t="str">
        <f t="shared" si="0"/>
        <v/>
      </c>
    </row>
    <row r="62" spans="2:8" x14ac:dyDescent="0.25">
      <c r="B62" s="30" t="s">
        <v>79</v>
      </c>
      <c r="C62" s="39"/>
      <c r="D62" s="38" t="s">
        <v>325</v>
      </c>
      <c r="E62" s="39" t="s">
        <v>367</v>
      </c>
      <c r="F62" s="38" t="str">
        <f>IF(COUNTIF(Data!B:B,Diabetes_label)&lt;&gt;0,"Blood sugar and diabetes screening","")</f>
        <v>Blood sugar and diabetes screening</v>
      </c>
      <c r="G62" s="31" t="str">
        <f t="shared" si="0"/>
        <v/>
      </c>
      <c r="H62" s="31"/>
    </row>
    <row r="63" spans="2:8" x14ac:dyDescent="0.25">
      <c r="C63" s="37" t="s">
        <v>203</v>
      </c>
      <c r="D63" s="36" t="b">
        <f>IF(Fasting_Glucose_value&lt;&gt;"",TRUE,FALSE)</f>
        <v>0</v>
      </c>
      <c r="E63" s="37" t="str">
        <f>Calculations!B24&amp;" "&amp;Calculations!D24&amp;", "&amp;Calculations!F24</f>
        <v>fasting glucose , not done</v>
      </c>
      <c r="F63" s="50" t="str">
        <f t="shared" ref="F63:F69" si="3">IF(AND(diabetes_findings&lt;&gt;"",D63=TRUE),E63,"")</f>
        <v/>
      </c>
      <c r="G63" s="40" t="str">
        <f t="shared" si="0"/>
        <v/>
      </c>
    </row>
    <row r="64" spans="2:8" x14ac:dyDescent="0.25">
      <c r="C64" s="37" t="s">
        <v>203</v>
      </c>
      <c r="D64" s="36" t="b">
        <f>IF(HBA1c_value&lt;&gt;"",TRUE,FALSE)</f>
        <v>0</v>
      </c>
      <c r="E64" s="37" t="str">
        <f>"HbA1c  "&amp;Calculations!D25&amp;", "&amp;Calculations!F25</f>
        <v>HbA1c  , not done</v>
      </c>
      <c r="F64" s="50" t="str">
        <f t="shared" si="3"/>
        <v/>
      </c>
      <c r="G64" s="40" t="str">
        <f t="shared" si="0"/>
        <v/>
      </c>
    </row>
    <row r="65" spans="2:8" ht="75" x14ac:dyDescent="0.25">
      <c r="C65" s="28" t="s">
        <v>368</v>
      </c>
      <c r="D65" s="28" t="b">
        <f>IF(AND(known_diabetes_flag="no",HBA1c_value&lt;5.7),TRUE,FALSE)</f>
        <v>1</v>
      </c>
      <c r="E65" s="29" t="s">
        <v>196</v>
      </c>
      <c r="F65" s="49" t="str">
        <f t="shared" si="3"/>
        <v>Your HbA1c is normal, and so we can be reassured that you are not currently at increased risk of diabetes. To maintain a healthy blood glucose level, it is helpful to maintain a healthy weight; to exercise regularly; to eat a varied and balanced diet avoiding excess sugar, including in sweetened drinks and fruit juices.</v>
      </c>
      <c r="G65" s="40" t="str">
        <f t="shared" si="0"/>
        <v/>
      </c>
    </row>
    <row r="66" spans="2:8" ht="180" x14ac:dyDescent="0.25">
      <c r="C66" s="28" t="s">
        <v>369</v>
      </c>
      <c r="D66" s="28" t="b">
        <f>IF(AND(known_diabetes_flag="no",HBA1c_value&gt;=5.7,HBA1c_value&lt;=6.4),TRUE,FALSE)</f>
        <v>0</v>
      </c>
      <c r="E66" s="29" t="s">
        <v>373</v>
      </c>
      <c r="F66" s="49" t="str">
        <f t="shared" si="3"/>
        <v/>
      </c>
      <c r="G66" s="40" t="str">
        <f t="shared" si="0"/>
        <v/>
      </c>
      <c r="H66" s="29" t="s">
        <v>409</v>
      </c>
    </row>
    <row r="67" spans="2:8" ht="150" x14ac:dyDescent="0.25">
      <c r="C67" s="28" t="s">
        <v>370</v>
      </c>
      <c r="D67" s="28" t="b">
        <f>IF(AND(known_diabetes_flag="no",HBA1c_value&gt;=6.5),TRUE,FALSE)</f>
        <v>0</v>
      </c>
      <c r="E67" s="29" t="s">
        <v>117</v>
      </c>
      <c r="F67" s="49" t="str">
        <f t="shared" si="3"/>
        <v/>
      </c>
      <c r="G67" s="40" t="str">
        <f t="shared" si="0"/>
        <v/>
      </c>
      <c r="H67" s="29" t="s">
        <v>410</v>
      </c>
    </row>
    <row r="68" spans="2:8" ht="75" x14ac:dyDescent="0.25">
      <c r="C68" s="28" t="s">
        <v>371</v>
      </c>
      <c r="D68" s="28" t="b">
        <f>IF(AND(known_diabetes_flag="yes",HBA1c_value&lt;=6.5),TRUE,FALSE)</f>
        <v>0</v>
      </c>
      <c r="E68" s="29" t="s">
        <v>118</v>
      </c>
      <c r="F68" s="49" t="str">
        <f t="shared" si="3"/>
        <v/>
      </c>
      <c r="G68" s="40" t="str">
        <f t="shared" ref="G68:G152" si="4">IF(AND(F68&lt;&gt;"",H68&lt;&gt;""),H68,"")</f>
        <v/>
      </c>
    </row>
    <row r="69" spans="2:8" ht="105" x14ac:dyDescent="0.25">
      <c r="C69" s="28" t="s">
        <v>372</v>
      </c>
      <c r="D69" s="28" t="b">
        <f>IF(AND(known_diabetes_flag="yes",HBA1c_value&gt;6.5),TRUE,FALSE)</f>
        <v>0</v>
      </c>
      <c r="E69" s="29" t="s">
        <v>119</v>
      </c>
      <c r="F69" s="49" t="str">
        <f t="shared" si="3"/>
        <v/>
      </c>
      <c r="G69" s="40" t="str">
        <f t="shared" si="4"/>
        <v/>
      </c>
    </row>
    <row r="70" spans="2:8" ht="60" x14ac:dyDescent="0.25">
      <c r="C70" s="29" t="s">
        <v>483</v>
      </c>
      <c r="D70" s="28" t="b">
        <f>IF(AND(known_diabetes_flag="yes",fasting_glucose_level="high"),TRUE,FALSE)</f>
        <v>0</v>
      </c>
      <c r="E70" s="29" t="s">
        <v>484</v>
      </c>
      <c r="G70" s="40" t="str">
        <f t="shared" si="4"/>
        <v/>
      </c>
    </row>
    <row r="72" spans="2:8" x14ac:dyDescent="0.25">
      <c r="B72" s="30" t="s">
        <v>540</v>
      </c>
      <c r="C72" s="39"/>
      <c r="D72" s="38" t="s">
        <v>325</v>
      </c>
      <c r="E72" s="39" t="s">
        <v>367</v>
      </c>
      <c r="F72" s="38" t="str">
        <f>IF(D73=TRUE,"Cardiac risk","")</f>
        <v/>
      </c>
      <c r="G72" s="31" t="str">
        <f t="shared" ref="G72:G76" si="5">IF(AND(F72&lt;&gt;"",H72&lt;&gt;""),H72,"")</f>
        <v/>
      </c>
      <c r="H72" s="31"/>
    </row>
    <row r="73" spans="2:8" x14ac:dyDescent="0.25">
      <c r="C73" s="37" t="s">
        <v>541</v>
      </c>
      <c r="D73" s="36" t="b">
        <f>AHA_cardiac_risk_score_flag</f>
        <v>0</v>
      </c>
      <c r="E73" s="61" t="str">
        <f>HYPERLINK("https://tools.acc.org/ascvd-risk-estimator-plus/#!/calculate/estimate/", "https://tools.acc.org/ascvd-risk-estimator-plus")</f>
        <v>https://tools.acc.org/ascvd-risk-estimator-plus</v>
      </c>
      <c r="F73" s="50" t="str">
        <f>IF(D73=TRUE, E73,"")</f>
        <v/>
      </c>
      <c r="G73" s="40" t="str">
        <f t="shared" si="5"/>
        <v/>
      </c>
    </row>
    <row r="74" spans="2:8" x14ac:dyDescent="0.25">
      <c r="C74" s="29" t="s">
        <v>566</v>
      </c>
      <c r="D74" s="28" t="b">
        <f>D73</f>
        <v>0</v>
      </c>
      <c r="E74" s="37" t="str">
        <f>"Age: " &amp;Age&amp; " Systolic:" &amp;BP_systolic&amp; " Diastolic:"&amp;BP_diastolic&amp; " Tchol: "&amp;Total_Cholesterol&amp;" HDL:" &amp;HDL_Cholesterol&amp; " LDL:"&amp;LDL_Cholesterol&amp;" Smoking:"&amp;hx_smoking</f>
        <v>Age:  Systolic: Diastolic: Tchol:  HDL: LDL: Smoking:</v>
      </c>
      <c r="F74" s="50" t="str">
        <f t="shared" ref="F74:F76" si="6">IF(D74=TRUE, E74,"")</f>
        <v/>
      </c>
      <c r="G74" s="40" t="str">
        <f t="shared" si="5"/>
        <v/>
      </c>
    </row>
    <row r="75" spans="2:8" ht="120" x14ac:dyDescent="0.25">
      <c r="C75" s="29" t="s">
        <v>355</v>
      </c>
      <c r="D75" s="28" t="b">
        <f>D73</f>
        <v>0</v>
      </c>
      <c r="E75" s="29" t="s">
        <v>564</v>
      </c>
      <c r="F75" s="69" t="str">
        <f t="shared" si="6"/>
        <v/>
      </c>
      <c r="G75" s="40" t="str">
        <f t="shared" si="5"/>
        <v/>
      </c>
    </row>
    <row r="76" spans="2:8" ht="45" x14ac:dyDescent="0.25">
      <c r="C76" s="29" t="s">
        <v>567</v>
      </c>
      <c r="D76" s="28" t="b">
        <f>D73</f>
        <v>0</v>
      </c>
      <c r="E76" s="29" t="s">
        <v>565</v>
      </c>
      <c r="F76" s="69" t="str">
        <f t="shared" si="6"/>
        <v/>
      </c>
      <c r="G76" s="40" t="str">
        <f t="shared" si="5"/>
        <v/>
      </c>
    </row>
    <row r="77" spans="2:8" x14ac:dyDescent="0.25">
      <c r="G77" s="40" t="str">
        <f t="shared" si="4"/>
        <v/>
      </c>
    </row>
    <row r="78" spans="2:8" x14ac:dyDescent="0.25">
      <c r="B78" s="30" t="s">
        <v>169</v>
      </c>
      <c r="C78" s="39" t="s">
        <v>202</v>
      </c>
      <c r="D78" s="38"/>
      <c r="E78" s="39"/>
      <c r="F78" s="38" t="str">
        <f>IF(COUNTIF(Data!B:B,Liver_label)&lt;&gt;0,"Liver function tests","")</f>
        <v>Liver function tests</v>
      </c>
      <c r="G78" s="31" t="str">
        <f t="shared" si="4"/>
        <v/>
      </c>
      <c r="H78" s="31"/>
    </row>
    <row r="79" spans="2:8" x14ac:dyDescent="0.25">
      <c r="C79" s="37" t="s">
        <v>203</v>
      </c>
      <c r="D79" s="36"/>
      <c r="E79" s="37"/>
      <c r="F79" s="50" t="str">
        <f>IF(Liver_findings&lt;&gt;"",LFT_summary,"")</f>
        <v>normal</v>
      </c>
      <c r="G79" s="40" t="str">
        <f t="shared" si="4"/>
        <v/>
      </c>
    </row>
    <row r="80" spans="2:8" ht="105" x14ac:dyDescent="0.25">
      <c r="C80" s="29" t="s">
        <v>470</v>
      </c>
      <c r="D80" s="28" t="b">
        <f>IF(AND(drinks_alcohol="yes",LFT_summary="normal"),TRUE,FALSE)</f>
        <v>1</v>
      </c>
      <c r="E80" s="29" t="s">
        <v>513</v>
      </c>
      <c r="F80" s="49" t="str">
        <f>IF(AND(Liver_findings&lt;&gt;"",D80=TRUE),E80,"")</f>
        <v>The blood tests did not identify any increased risk of liver disease. Alcohol can of course affect the liver, and to maintain a healthy liver it is recommended to drink no more than 14 units of alcohol a week, spread across 3 days or more. That's around 6 medium (175ml) glasses of wine, or 6 pints of 4% beer. There's no completely safe level of drinking, but sticking within these guidelines lowers the risk of harming your health.</v>
      </c>
      <c r="G80" s="40" t="str">
        <f t="shared" si="4"/>
        <v/>
      </c>
    </row>
    <row r="81" spans="2:8" ht="60" x14ac:dyDescent="0.25">
      <c r="C81" s="29" t="s">
        <v>471</v>
      </c>
      <c r="D81" s="28" t="b">
        <f>IF(LFT_summary&lt;&gt;"normal",TRUE,FALSE)</f>
        <v>0</v>
      </c>
      <c r="E81" t="s">
        <v>217</v>
      </c>
      <c r="F81" s="49" t="str">
        <f>IF(AND(Liver_findings&lt;&gt;"",D81=TRUE),E81,"")</f>
        <v/>
      </c>
    </row>
    <row r="82" spans="2:8" ht="150" x14ac:dyDescent="0.25">
      <c r="C82" s="29" t="s">
        <v>210</v>
      </c>
      <c r="D82" s="28" t="b">
        <f>IF(AND(drinks_alcohol="no",LFT_summary="normal"),TRUE,FALSE)</f>
        <v>0</v>
      </c>
      <c r="E82" s="29" t="s">
        <v>472</v>
      </c>
      <c r="F82" s="49" t="str">
        <f>IF(AND(Liver_findings&lt;&gt;"",D82=TRUE),E82,"")</f>
        <v/>
      </c>
      <c r="G82" s="40" t="str">
        <f t="shared" si="4"/>
        <v/>
      </c>
    </row>
    <row r="83" spans="2:8" x14ac:dyDescent="0.25">
      <c r="G83" s="40" t="str">
        <f t="shared" si="4"/>
        <v/>
      </c>
    </row>
    <row r="84" spans="2:8" x14ac:dyDescent="0.25">
      <c r="B84" s="30" t="s">
        <v>168</v>
      </c>
      <c r="C84" s="39" t="s">
        <v>202</v>
      </c>
      <c r="D84" s="38"/>
      <c r="E84" s="39"/>
      <c r="F84" s="38" t="str">
        <f>IF(COUNTIF(Data!B:B,kidney_label)&lt;&gt;0,"Kidney Function Tests","")</f>
        <v>Kidney Function Tests</v>
      </c>
      <c r="G84" s="31" t="str">
        <f t="shared" si="4"/>
        <v/>
      </c>
      <c r="H84" s="31"/>
    </row>
    <row r="85" spans="2:8" x14ac:dyDescent="0.25">
      <c r="C85" s="37" t="s">
        <v>203</v>
      </c>
      <c r="D85" s="36" t="b">
        <f>IF(Kidney_findings&lt;&gt;"",TRUE,FALSE)</f>
        <v>1</v>
      </c>
      <c r="E85" s="37" t="str">
        <f>"GFR = "&amp;GFR_value&amp;", "&amp;GFR_summary</f>
        <v xml:space="preserve">GFR = , </v>
      </c>
      <c r="F85" s="50" t="str">
        <f>IF(Kidney_findings&lt;&gt;"",E85,"")</f>
        <v xml:space="preserve">GFR = , </v>
      </c>
      <c r="G85" s="40" t="str">
        <f t="shared" si="4"/>
        <v/>
      </c>
    </row>
    <row r="86" spans="2:8" ht="60" x14ac:dyDescent="0.25">
      <c r="C86" s="29" t="s">
        <v>209</v>
      </c>
      <c r="D86" s="36" t="b">
        <f>IF(GFR_value&gt;60,TRUE,FALSE)</f>
        <v>1</v>
      </c>
      <c r="E86" s="29" t="str">
        <f>"Kidneys filter blood by removing waste and extra water to make urine. The glomerular filtration rate (GFR) shows how well the kidneys are filtering. Your kidney function tests were within the normal range and your GFR is healthy."</f>
        <v>Kidneys filter blood by removing waste and extra water to make urine. The glomerular filtration rate (GFR) shows how well the kidneys are filtering. Your kidney function tests were within the normal range and your GFR is healthy.</v>
      </c>
      <c r="F86" s="49" t="str">
        <f>IF(AND(Kidney_findings&lt;&gt;"",D86=TRUE),E86,"")</f>
        <v>Kidneys filter blood by removing waste and extra water to make urine. The glomerular filtration rate (GFR) shows how well the kidneys are filtering. Your kidney function tests were within the normal range and your GFR is healthy.</v>
      </c>
      <c r="G86" s="40" t="str">
        <f t="shared" si="4"/>
        <v/>
      </c>
    </row>
    <row r="87" spans="2:8" ht="75" x14ac:dyDescent="0.25">
      <c r="C87" s="29" t="s">
        <v>210</v>
      </c>
      <c r="D87" s="36" t="b">
        <f>IF(GFR_value&lt;60,TRUE,FALSE)</f>
        <v>0</v>
      </c>
      <c r="E87" s="29" t="str">
        <f>"Kidneys filter blood by removing waste and extra water to make urine. The glomerular filtration rate (GFR) shows how well the kidneys are filtering. Your GFR is "&amp;GFR_value&amp;", which is a little below the normal range. This is something which should be discussed with your doctor, and follow up is usually necessary."</f>
        <v>Kidneys filter blood by removing waste and extra water to make urine. The glomerular filtration rate (GFR) shows how well the kidneys are filtering. Your GFR is , which is a little below the normal range. This is something which should be discussed with your doctor, and follow up is usually necessary.</v>
      </c>
      <c r="F87" s="49" t="str">
        <f>IF(AND(Kidney_findings&lt;&gt;"",D87=TRUE),E87,"")</f>
        <v/>
      </c>
      <c r="G87" s="40" t="str">
        <f t="shared" si="4"/>
        <v/>
      </c>
      <c r="H87" s="29" t="s">
        <v>473</v>
      </c>
    </row>
    <row r="88" spans="2:8" x14ac:dyDescent="0.25">
      <c r="G88" s="40" t="str">
        <f t="shared" si="4"/>
        <v/>
      </c>
    </row>
    <row r="89" spans="2:8" x14ac:dyDescent="0.25">
      <c r="B89" s="30" t="s">
        <v>171</v>
      </c>
      <c r="C89" s="39"/>
      <c r="D89" s="38" t="s">
        <v>325</v>
      </c>
      <c r="E89" s="39" t="s">
        <v>106</v>
      </c>
      <c r="F89" s="38" t="str">
        <f>IF(COUNTIF(Data!B:B,Haematology_label)&lt;&gt;0,"Haematology","")</f>
        <v>Haematology</v>
      </c>
      <c r="G89" s="31" t="str">
        <f t="shared" si="4"/>
        <v/>
      </c>
      <c r="H89" s="39"/>
    </row>
    <row r="90" spans="2:8" x14ac:dyDescent="0.25">
      <c r="C90" s="37" t="s">
        <v>203</v>
      </c>
      <c r="D90" s="36" t="b">
        <f>IF(Haematology_findings&lt;&gt;"",TRUE,FALSE)</f>
        <v>1</v>
      </c>
      <c r="E90" s="37" t="str">
        <f>"Full blood count: "&amp;Calculations!F40</f>
        <v>Full blood count: Some values outside normal range</v>
      </c>
      <c r="F90" s="50" t="str">
        <f t="shared" ref="F90:F98" si="7">IF(AND(Haematology_findings&lt;&gt;"",D90=TRUE),E90,"")</f>
        <v>Full blood count: Some values outside normal range</v>
      </c>
      <c r="G90" s="40" t="str">
        <f t="shared" si="4"/>
        <v/>
      </c>
    </row>
    <row r="91" spans="2:8" ht="105" x14ac:dyDescent="0.25">
      <c r="C91" s="29" t="s">
        <v>355</v>
      </c>
      <c r="D91" s="36" t="b">
        <f>IF(Haematology_findings&lt;&gt;"",TRUE)</f>
        <v>1</v>
      </c>
      <c r="E91" s="29" t="s">
        <v>226</v>
      </c>
      <c r="F91" s="49" t="str">
        <f t="shared" si="7"/>
        <v>Sometimes also called a complete blood count (CBC), this blood test is used to look at overall health and can provide pointers to a wide range of conditions, including anemia, infection and leukemias. The CBC test measures the following: Red blood cells, which carry oxygen; White blood cells, which fight infection; Hemoglobin, the oxygen-carrying protein in red blood cells; and platelets, which help blood to clot.</v>
      </c>
      <c r="G91" s="40" t="str">
        <f t="shared" si="4"/>
        <v/>
      </c>
    </row>
    <row r="92" spans="2:8" ht="75" x14ac:dyDescent="0.25">
      <c r="C92" s="29" t="s">
        <v>479</v>
      </c>
      <c r="D92" s="28" t="b">
        <f>IF(Calculations!F40="Normal",TRUE,FALSE)</f>
        <v>0</v>
      </c>
      <c r="E92" s="29" t="s">
        <v>225</v>
      </c>
      <c r="F92" s="49" t="str">
        <f t="shared" si="7"/>
        <v/>
      </c>
      <c r="G92" s="40" t="str">
        <f t="shared" si="4"/>
        <v/>
      </c>
    </row>
    <row r="93" spans="2:8" ht="45" x14ac:dyDescent="0.25">
      <c r="C93" s="29" t="s">
        <v>481</v>
      </c>
      <c r="D93" s="28" t="b">
        <f>IF(AND(Hb_level="low",OR(ferritin_level&lt;&gt;"not done",iron_level&lt;&gt;"not done")),TRUE,FALSE)</f>
        <v>0</v>
      </c>
      <c r="E93" s="29" t="s">
        <v>386</v>
      </c>
      <c r="F93" s="49" t="str">
        <f t="shared" si="7"/>
        <v/>
      </c>
      <c r="G93" s="40" t="str">
        <f t="shared" si="4"/>
        <v/>
      </c>
      <c r="H93" s="29" t="s">
        <v>404</v>
      </c>
    </row>
    <row r="94" spans="2:8" ht="135" x14ac:dyDescent="0.25">
      <c r="C94" s="29" t="s">
        <v>480</v>
      </c>
      <c r="D94" s="29" t="b">
        <f>IF(AND(Hb_level="low",ferritin_level="not done",iron_level="not done"),TRUE,FALSE)</f>
        <v>0</v>
      </c>
      <c r="E94" s="29" t="s">
        <v>387</v>
      </c>
      <c r="F94" s="49" t="str">
        <f t="shared" si="7"/>
        <v/>
      </c>
      <c r="G94" s="40" t="str">
        <f t="shared" si="4"/>
        <v/>
      </c>
      <c r="H94" s="29" t="s">
        <v>404</v>
      </c>
    </row>
    <row r="95" spans="2:8" ht="90" x14ac:dyDescent="0.25">
      <c r="C95" s="29" t="s">
        <v>233</v>
      </c>
      <c r="D95" s="29" t="b">
        <f>IF(AND(Haematology_findings&lt;&gt;"",Calculations!F37="high"),TRUE,FALSE)</f>
        <v>0</v>
      </c>
      <c r="E95" s="29" t="s">
        <v>228</v>
      </c>
      <c r="F95" s="49" t="str">
        <f t="shared" si="7"/>
        <v/>
      </c>
      <c r="G95" s="40" t="str">
        <f t="shared" si="4"/>
        <v/>
      </c>
    </row>
    <row r="96" spans="2:8" ht="105" x14ac:dyDescent="0.25">
      <c r="C96" s="29" t="s">
        <v>234</v>
      </c>
      <c r="D96" s="29" t="b">
        <f>IF(Calculations!F37="low",TRUE,FALSE)</f>
        <v>0</v>
      </c>
      <c r="E96" s="29" t="s">
        <v>413</v>
      </c>
      <c r="F96" s="49" t="str">
        <f t="shared" si="7"/>
        <v/>
      </c>
      <c r="G96" s="40" t="str">
        <f t="shared" si="4"/>
        <v/>
      </c>
    </row>
    <row r="97" spans="2:8" ht="105" x14ac:dyDescent="0.25">
      <c r="C97" s="29" t="s">
        <v>232</v>
      </c>
      <c r="D97" s="28" t="b">
        <f>IF(Calculations!F39="low",TRUE,FALSE)</f>
        <v>0</v>
      </c>
      <c r="E97" s="29" t="s">
        <v>231</v>
      </c>
      <c r="F97" s="49" t="str">
        <f t="shared" si="7"/>
        <v/>
      </c>
      <c r="G97" s="40" t="str">
        <f t="shared" si="4"/>
        <v/>
      </c>
    </row>
    <row r="98" spans="2:8" ht="60" x14ac:dyDescent="0.25">
      <c r="C98" s="29" t="s">
        <v>229</v>
      </c>
      <c r="D98" s="28" t="b">
        <f>IF(Calculations!F39="high",TRUE,FALSE)</f>
        <v>0</v>
      </c>
      <c r="E98" s="29" t="s">
        <v>230</v>
      </c>
      <c r="F98" s="49" t="str">
        <f t="shared" si="7"/>
        <v/>
      </c>
      <c r="G98" s="40" t="str">
        <f t="shared" si="4"/>
        <v/>
      </c>
    </row>
    <row r="99" spans="2:8" x14ac:dyDescent="0.25">
      <c r="G99" s="40" t="str">
        <f t="shared" si="4"/>
        <v/>
      </c>
    </row>
    <row r="100" spans="2:8" x14ac:dyDescent="0.25">
      <c r="B100" s="30" t="s">
        <v>170</v>
      </c>
      <c r="C100" s="39"/>
      <c r="D100" s="38" t="s">
        <v>325</v>
      </c>
      <c r="E100" s="39" t="s">
        <v>106</v>
      </c>
      <c r="F100" s="38" t="str">
        <f>IF(COUNTIF(Data!B:B,Vitamins_label)&lt;&gt;0,"Vitamins and minerals","")</f>
        <v>Vitamins and minerals</v>
      </c>
      <c r="G100" s="31" t="str">
        <f t="shared" si="4"/>
        <v/>
      </c>
      <c r="H100" s="39"/>
    </row>
    <row r="101" spans="2:8" s="41" customFormat="1" x14ac:dyDescent="0.25">
      <c r="B101" s="36"/>
      <c r="C101" s="41" t="s">
        <v>357</v>
      </c>
      <c r="D101" s="41" t="b">
        <f>IF(B12_value&lt;&gt;"",TRUE,FALSE)</f>
        <v>0</v>
      </c>
      <c r="E101" s="37" t="str">
        <f>Data!C92&amp;" "&amp;Calculations!D53&amp;", "&amp;Calculations!F53</f>
        <v>B12 , not done</v>
      </c>
      <c r="F101" s="51" t="str">
        <f t="shared" ref="F101:F114" si="8">IF(AND(Vitamins_findings&lt;&gt;"",D101=TRUE),E101,"")</f>
        <v/>
      </c>
      <c r="G101" s="40" t="str">
        <f t="shared" si="4"/>
        <v/>
      </c>
      <c r="H101" s="37"/>
    </row>
    <row r="102" spans="2:8" s="41" customFormat="1" x14ac:dyDescent="0.25">
      <c r="B102" s="36"/>
      <c r="C102" s="41" t="s">
        <v>358</v>
      </c>
      <c r="D102" s="41" t="b">
        <f>IF(folic_acid_value&lt;&gt;"",TRUE,FALSE)</f>
        <v>0</v>
      </c>
      <c r="E102" s="37" t="str">
        <f>Data!C93&amp;" "&amp;Calculations!D54&amp;", "&amp;Calculations!F54</f>
        <v>Folic acid , not done</v>
      </c>
      <c r="F102" s="51" t="str">
        <f t="shared" si="8"/>
        <v/>
      </c>
      <c r="G102" s="40" t="str">
        <f t="shared" si="4"/>
        <v/>
      </c>
      <c r="H102" s="37"/>
    </row>
    <row r="103" spans="2:8" s="41" customFormat="1" x14ac:dyDescent="0.25">
      <c r="B103" s="36"/>
      <c r="C103" s="41" t="s">
        <v>359</v>
      </c>
      <c r="D103" s="41" t="b">
        <f>IF(Vitamin_D_value&lt;&gt;"",TRUE,FALSE)</f>
        <v>0</v>
      </c>
      <c r="E103" s="37" t="str">
        <f>Data!C94&amp;" "&amp;Calculations!D55&amp;", "&amp;Calculations!F55</f>
        <v>Zinc , not done</v>
      </c>
      <c r="F103" s="51" t="str">
        <f t="shared" si="8"/>
        <v/>
      </c>
      <c r="G103" s="40" t="str">
        <f t="shared" si="4"/>
        <v/>
      </c>
      <c r="H103" s="37"/>
    </row>
    <row r="104" spans="2:8" s="41" customFormat="1" x14ac:dyDescent="0.25">
      <c r="B104" s="36"/>
      <c r="C104" s="42" t="s">
        <v>360</v>
      </c>
      <c r="D104" s="41" t="b">
        <f>IF(Iron_value&lt;&gt;"",TRUE,FALSE)</f>
        <v>0</v>
      </c>
      <c r="E104" s="37" t="str">
        <f>Data!C96&amp;" "&amp;Calculations!D56&amp;", "&amp;Calculations!F56</f>
        <v>Iron (Fe) , not done</v>
      </c>
      <c r="F104" s="51" t="str">
        <f t="shared" si="8"/>
        <v/>
      </c>
      <c r="G104" s="40" t="str">
        <f t="shared" si="4"/>
        <v/>
      </c>
      <c r="H104" s="37"/>
    </row>
    <row r="105" spans="2:8" s="41" customFormat="1" x14ac:dyDescent="0.25">
      <c r="B105" s="36"/>
      <c r="C105" s="42" t="s">
        <v>467</v>
      </c>
      <c r="D105" s="41" t="b">
        <f>IF(Zinc_value&lt;&gt;"",TRUE,FALSE)</f>
        <v>0</v>
      </c>
      <c r="E105" s="37" t="str">
        <f>Data!C94&amp;" "&amp;Calculations!D57&amp;", "&amp;Calculations!F57</f>
        <v>Zinc , not done</v>
      </c>
      <c r="F105" s="51"/>
      <c r="G105" s="40"/>
      <c r="H105" s="37"/>
    </row>
    <row r="106" spans="2:8" s="41" customFormat="1" x14ac:dyDescent="0.25">
      <c r="B106" s="36"/>
      <c r="C106" s="42" t="s">
        <v>468</v>
      </c>
      <c r="D106" s="41" t="b">
        <f>IF(Magnesium_value&lt;&gt;"",TRUE,FALSE)</f>
        <v>0</v>
      </c>
      <c r="E106" s="37" t="str">
        <f>Data!C95&amp;" "&amp;Calculations!D58&amp;", "&amp;Calculations!F58</f>
        <v>Magnesium , not done</v>
      </c>
      <c r="F106" s="51"/>
      <c r="G106" s="40"/>
      <c r="H106" s="37"/>
    </row>
    <row r="107" spans="2:8" s="41" customFormat="1" x14ac:dyDescent="0.25">
      <c r="B107" s="36"/>
      <c r="C107" s="41" t="s">
        <v>361</v>
      </c>
      <c r="D107" s="41" t="b">
        <f>IF(Ferritin_value&lt;&gt;"",TRUE,FALSE)</f>
        <v>0</v>
      </c>
      <c r="E107" s="37" t="str">
        <f>Data!C97&amp;" "&amp;Calculations!D59&amp;", "&amp;Calculations!F59</f>
        <v>Ferritin, serum , not done</v>
      </c>
      <c r="F107" s="51" t="str">
        <f t="shared" si="8"/>
        <v/>
      </c>
      <c r="G107" s="40" t="str">
        <f t="shared" si="4"/>
        <v/>
      </c>
      <c r="H107" s="37"/>
    </row>
    <row r="108" spans="2:8" s="41" customFormat="1" x14ac:dyDescent="0.25">
      <c r="B108" s="36"/>
      <c r="C108" s="41" t="s">
        <v>362</v>
      </c>
      <c r="D108" s="41" t="b">
        <f>IF(TIBC_value&lt;&gt;"",TRUE,FALSE)</f>
        <v>0</v>
      </c>
      <c r="E108" s="37" t="str">
        <f>Data!C98&amp;" "&amp;Calculations!D60&amp;", "&amp;Calculations!F60</f>
        <v>Total Iron Binding Capacity, serum , not done</v>
      </c>
      <c r="F108" s="51" t="str">
        <f t="shared" si="8"/>
        <v/>
      </c>
      <c r="G108" s="40" t="str">
        <f t="shared" si="4"/>
        <v/>
      </c>
      <c r="H108" s="37"/>
    </row>
    <row r="109" spans="2:8" s="41" customFormat="1" x14ac:dyDescent="0.25">
      <c r="B109" s="36"/>
      <c r="C109" s="41" t="s">
        <v>363</v>
      </c>
      <c r="D109" s="41" t="b">
        <f>IF(Vitamin_D_value&lt;&gt;"",TRUE,FALSE)</f>
        <v>0</v>
      </c>
      <c r="E109" s="37" t="str">
        <f>Data!C100&amp;" "&amp;Calculations!D61&amp;", "&amp;Calculations!F61</f>
        <v>25 Hydroxy (OH) Vitamin D, serum , not done</v>
      </c>
      <c r="F109" s="51" t="str">
        <f t="shared" si="8"/>
        <v/>
      </c>
      <c r="G109" s="40" t="str">
        <f t="shared" si="4"/>
        <v/>
      </c>
      <c r="H109" s="37"/>
    </row>
    <row r="110" spans="2:8" ht="105" x14ac:dyDescent="0.25">
      <c r="C110" t="s">
        <v>364</v>
      </c>
      <c r="D110" s="28" t="b">
        <f>IF(AND(iron_level="low",ferritin_level="low"),TRUE,FALSE)</f>
        <v>0</v>
      </c>
      <c r="E110" s="34" t="s">
        <v>485</v>
      </c>
      <c r="F110" s="1" t="str">
        <f t="shared" si="8"/>
        <v/>
      </c>
      <c r="G110" s="40" t="str">
        <f t="shared" si="4"/>
        <v/>
      </c>
      <c r="H110" s="29" t="s">
        <v>405</v>
      </c>
    </row>
    <row r="111" spans="2:8" ht="60" x14ac:dyDescent="0.25">
      <c r="C111" s="29" t="s">
        <v>536</v>
      </c>
      <c r="D111" s="43" t="b">
        <f>IF(AND(iron_level&lt;&gt;"low",ferritin_level="low"),TRUE,FALSE)</f>
        <v>0</v>
      </c>
      <c r="E111" s="34" t="s">
        <v>482</v>
      </c>
      <c r="F111" s="1" t="str">
        <f t="shared" si="8"/>
        <v/>
      </c>
      <c r="G111" s="40" t="str">
        <f t="shared" si="4"/>
        <v/>
      </c>
      <c r="H111" s="29" t="s">
        <v>537</v>
      </c>
    </row>
    <row r="112" spans="2:8" ht="60" x14ac:dyDescent="0.25">
      <c r="C112" s="29" t="s">
        <v>476</v>
      </c>
      <c r="D112" s="43" t="b">
        <f>IF(AND(iron_level&lt;&gt;"high",ferritin_level="high"),TRUE,FALSE)</f>
        <v>0</v>
      </c>
      <c r="E112" s="33" t="s">
        <v>282</v>
      </c>
      <c r="F112" s="1" t="str">
        <f t="shared" si="8"/>
        <v/>
      </c>
      <c r="G112" s="40" t="str">
        <f t="shared" si="4"/>
        <v/>
      </c>
    </row>
    <row r="113" spans="1:8" ht="90" x14ac:dyDescent="0.25">
      <c r="C113" s="29" t="s">
        <v>477</v>
      </c>
      <c r="D113" s="43" t="b">
        <f>IF(iron_level="high",TRUE,FALSE)</f>
        <v>0</v>
      </c>
      <c r="E113" s="33" t="s">
        <v>281</v>
      </c>
      <c r="F113" s="1" t="str">
        <f t="shared" si="8"/>
        <v/>
      </c>
      <c r="G113" s="40" t="str">
        <f t="shared" si="4"/>
        <v/>
      </c>
    </row>
    <row r="114" spans="1:8" ht="135" x14ac:dyDescent="0.25">
      <c r="C114" s="29" t="s">
        <v>533</v>
      </c>
      <c r="D114" s="43" t="b">
        <f>IF(Vitamin_D_level="low",TRUE,FALSE)</f>
        <v>0</v>
      </c>
      <c r="E114" s="33" t="s">
        <v>534</v>
      </c>
      <c r="F114" s="1" t="str">
        <f t="shared" si="8"/>
        <v/>
      </c>
      <c r="G114" s="40" t="str">
        <f t="shared" si="4"/>
        <v/>
      </c>
      <c r="H114" s="29" t="s">
        <v>535</v>
      </c>
    </row>
    <row r="115" spans="1:8" x14ac:dyDescent="0.25">
      <c r="D115" s="43"/>
      <c r="E115" s="33"/>
      <c r="F115" s="1"/>
    </row>
    <row r="116" spans="1:8" x14ac:dyDescent="0.25">
      <c r="E116" s="33"/>
      <c r="G116" s="40" t="str">
        <f t="shared" si="4"/>
        <v/>
      </c>
    </row>
    <row r="117" spans="1:8" s="48" customFormat="1" x14ac:dyDescent="0.25">
      <c r="B117" s="38" t="s">
        <v>236</v>
      </c>
      <c r="C117" s="39"/>
      <c r="D117" s="38" t="s">
        <v>325</v>
      </c>
      <c r="E117" s="39" t="s">
        <v>399</v>
      </c>
      <c r="F117" s="38" t="str">
        <f>IF(COUNTIF(Data!B:B,Prostate_label)&lt;&gt;0,"Prostate screening","")</f>
        <v>Prostate screening</v>
      </c>
      <c r="G117" s="31" t="str">
        <f t="shared" si="4"/>
        <v/>
      </c>
      <c r="H117" s="39"/>
    </row>
    <row r="118" spans="1:8" x14ac:dyDescent="0.25">
      <c r="C118" s="37" t="s">
        <v>203</v>
      </c>
      <c r="D118" s="36" t="b">
        <f>IF(Prostate_findings&lt;&gt;"",TRUE,FALSE)</f>
        <v>1</v>
      </c>
      <c r="E118" s="37" t="str">
        <f>"PSA "&amp;psa_value&amp;psa_units</f>
        <v>PSA  ng/mL</v>
      </c>
      <c r="F118" s="50" t="str">
        <f>IF(AND(Prostate_findings&lt;&gt;"",D118=TRUE),E118,"")</f>
        <v>PSA  ng/mL</v>
      </c>
      <c r="G118" s="40" t="str">
        <f t="shared" si="4"/>
        <v/>
      </c>
    </row>
    <row r="119" spans="1:8" ht="75" x14ac:dyDescent="0.25">
      <c r="C119" s="29" t="s">
        <v>204</v>
      </c>
      <c r="D119" s="28" t="b">
        <f>IF(Prostate_findings&lt;&gt;"",TRUE,FALSE)</f>
        <v>1</v>
      </c>
      <c r="E119" s="29" t="s">
        <v>383</v>
      </c>
      <c r="F119" s="49" t="str">
        <f>IF(AND(Prostate_findings&lt;&gt;"",D119=TRUE),E119,"")</f>
        <v>The prostate specific antigen (PSA) test is a blood test that can help diagnose prostate problems. It is normal for all men to have some PSA in their blood. PSA levels can be raised in a number of conditions, such as a urinary infection, an enlarged prostate, prostatitis or prostate cancer.</v>
      </c>
      <c r="G119" s="40" t="str">
        <f t="shared" si="4"/>
        <v/>
      </c>
    </row>
    <row r="120" spans="1:8" ht="30" x14ac:dyDescent="0.25">
      <c r="C120" s="29" t="s">
        <v>391</v>
      </c>
      <c r="D120" s="28" t="b">
        <f>IF(psa_value&lt;PSA_upper_limit,TRUE,FALSE)</f>
        <v>1</v>
      </c>
      <c r="E120" s="29" t="s">
        <v>393</v>
      </c>
      <c r="F120" s="49" t="str">
        <f>IF(AND(Prostate_findings&lt;&gt;"",D120=TRUE),E120,"")</f>
        <v>Your PSA is in the normal range for a man of your age. The lower a man's PSA level, the less likely it is that he has prostate cancer.</v>
      </c>
      <c r="G120" s="40" t="str">
        <f t="shared" si="4"/>
        <v/>
      </c>
    </row>
    <row r="121" spans="1:8" ht="105" x14ac:dyDescent="0.25">
      <c r="C121" s="29" t="s">
        <v>392</v>
      </c>
      <c r="D121" s="28" t="b">
        <f>IF(psa_value&gt;=PSA_upper_limit,TRUE,FALSE)</f>
        <v>0</v>
      </c>
      <c r="E121" s="29" t="s">
        <v>394</v>
      </c>
      <c r="F121" s="49" t="str">
        <f>IF(AND(Prostate_findings&lt;&gt;"",D121=TRUE),E121,"")</f>
        <v/>
      </c>
      <c r="G121" s="40" t="str">
        <f t="shared" si="4"/>
        <v/>
      </c>
      <c r="H121" s="29" t="s">
        <v>406</v>
      </c>
    </row>
    <row r="122" spans="1:8" x14ac:dyDescent="0.25">
      <c r="G122" s="40" t="str">
        <f t="shared" si="4"/>
        <v/>
      </c>
    </row>
    <row r="123" spans="1:8" s="2" customFormat="1" x14ac:dyDescent="0.25">
      <c r="A123" s="2" t="s">
        <v>262</v>
      </c>
      <c r="B123" s="38" t="s">
        <v>251</v>
      </c>
      <c r="C123" s="39"/>
      <c r="D123" s="38"/>
      <c r="E123" s="39"/>
      <c r="F123" s="38" t="str">
        <f>IF(COUNTIF(Data!B:B,Faeces_label)&lt;&gt;0,"Faecal occult blood","")</f>
        <v>Faecal occult blood</v>
      </c>
      <c r="G123" s="31" t="str">
        <f t="shared" si="4"/>
        <v/>
      </c>
      <c r="H123" s="39"/>
    </row>
    <row r="124" spans="1:8" x14ac:dyDescent="0.25">
      <c r="C124" s="37" t="s">
        <v>203</v>
      </c>
      <c r="D124" s="36" t="b">
        <f>IF(FOB_findings&lt;&gt;"",TRUE,FALSE)</f>
        <v>1</v>
      </c>
      <c r="E124" s="37">
        <f>FOB_result</f>
        <v>0</v>
      </c>
      <c r="F124" s="50">
        <f>IF(D124=TRUE,E124,"")</f>
        <v>0</v>
      </c>
      <c r="G124" s="40" t="str">
        <f t="shared" si="4"/>
        <v/>
      </c>
    </row>
    <row r="125" spans="1:8" ht="75" x14ac:dyDescent="0.25">
      <c r="C125" s="29" t="s">
        <v>384</v>
      </c>
      <c r="D125" s="28" t="b">
        <f>IF(FOB_result="negative",TRUE,FALSE)</f>
        <v>0</v>
      </c>
      <c r="E125" s="29" t="s">
        <v>256</v>
      </c>
      <c r="F125" s="49" t="str">
        <f t="shared" ref="F125:F128" si="9">IF(D125=TRUE,E125,"")</f>
        <v/>
      </c>
      <c r="G125" s="40" t="str">
        <f t="shared" si="4"/>
        <v/>
      </c>
    </row>
    <row r="126" spans="1:8" ht="90" x14ac:dyDescent="0.25">
      <c r="D126" s="28" t="b">
        <f>IF(FOB_result="negative",TRUE,FALSE)</f>
        <v>0</v>
      </c>
      <c r="E126" s="52" t="s">
        <v>412</v>
      </c>
      <c r="F126" s="49" t="str">
        <f t="shared" si="9"/>
        <v/>
      </c>
      <c r="G126" s="40" t="str">
        <f t="shared" si="4"/>
        <v/>
      </c>
    </row>
    <row r="127" spans="1:8" ht="60" x14ac:dyDescent="0.25">
      <c r="D127" s="28" t="b">
        <f>IF(FOB_result="negative",TRUE,FALSE)</f>
        <v>0</v>
      </c>
      <c r="E127" s="52" t="s">
        <v>411</v>
      </c>
      <c r="F127" s="49" t="str">
        <f t="shared" si="9"/>
        <v/>
      </c>
      <c r="G127" s="40" t="str">
        <f t="shared" si="4"/>
        <v/>
      </c>
    </row>
    <row r="128" spans="1:8" ht="75" x14ac:dyDescent="0.25">
      <c r="C128" s="29" t="s">
        <v>385</v>
      </c>
      <c r="D128" s="28" t="b">
        <f>IF(FOB_result="positive",TRUE,FALSE)</f>
        <v>0</v>
      </c>
      <c r="E128" s="29" t="s">
        <v>255</v>
      </c>
      <c r="F128" s="49" t="str">
        <f t="shared" si="9"/>
        <v/>
      </c>
      <c r="G128" s="40" t="str">
        <f t="shared" si="4"/>
        <v/>
      </c>
      <c r="H128" s="29" t="s">
        <v>407</v>
      </c>
    </row>
    <row r="129" spans="2:8" x14ac:dyDescent="0.25">
      <c r="G129" s="40" t="str">
        <f t="shared" si="4"/>
        <v/>
      </c>
    </row>
    <row r="130" spans="2:8" s="2" customFormat="1" x14ac:dyDescent="0.25">
      <c r="B130" s="38" t="s">
        <v>172</v>
      </c>
      <c r="C130" s="39"/>
      <c r="D130" s="38" t="s">
        <v>379</v>
      </c>
      <c r="E130" s="39"/>
      <c r="F130" s="38" t="str">
        <f>IF(COUNTIF(Data!B:B,Thyroid_label)&lt;&gt;0,"Thyroid function tests","")</f>
        <v>Thyroid function tests</v>
      </c>
      <c r="G130" s="31" t="str">
        <f t="shared" si="4"/>
        <v/>
      </c>
      <c r="H130" s="39"/>
    </row>
    <row r="131" spans="2:8" x14ac:dyDescent="0.25">
      <c r="C131" s="37" t="s">
        <v>380</v>
      </c>
      <c r="D131" s="36" t="b">
        <f>IF(TSH_value&lt;&gt;"",TRUE,FALSE)</f>
        <v>0</v>
      </c>
      <c r="E131" s="37" t="str">
        <f>TSH_value&amp;TSH_units&amp;", "&amp;TSH_level</f>
        <v xml:space="preserve"> uIU/mL, not done</v>
      </c>
      <c r="F131" s="50" t="str">
        <f>IF(AND(Thyroid_findings&lt;&gt;"",D131&lt;&gt;FALSE),"Thyroid stimulating hormone (TSH): "&amp;E131,"")</f>
        <v/>
      </c>
      <c r="G131" s="40" t="str">
        <f t="shared" si="4"/>
        <v/>
      </c>
    </row>
    <row r="132" spans="2:8" x14ac:dyDescent="0.25">
      <c r="C132" s="37" t="s">
        <v>381</v>
      </c>
      <c r="D132" s="36" t="b">
        <f>IF(T4_value&lt;&gt;"",TRUE,FALSE)</f>
        <v>0</v>
      </c>
      <c r="E132" s="37" t="str">
        <f>T4_value&amp;T4_units&amp;", "&amp;T4_level</f>
        <v xml:space="preserve"> pmol/L, not done</v>
      </c>
      <c r="F132" s="50" t="str">
        <f>IF(AND(Thyroid_findings&lt;&gt;"",D132&lt;&gt;FALSE),"Free Thyroxine (T4),"&amp;E132,"")</f>
        <v/>
      </c>
      <c r="G132" s="40" t="str">
        <f t="shared" si="4"/>
        <v/>
      </c>
    </row>
    <row r="133" spans="2:8" x14ac:dyDescent="0.25">
      <c r="C133" s="37" t="s">
        <v>518</v>
      </c>
      <c r="D133" s="36" t="b">
        <f>IF(Total_T4_value&lt;&gt;"",TRUE,FALSE)</f>
        <v>0</v>
      </c>
      <c r="E133" s="37" t="str">
        <f>Total_T4_value&amp;Total_T4_units&amp;", "&amp;Total_T4_level</f>
        <v>ng/dL, not done</v>
      </c>
      <c r="F133" s="50" t="str">
        <f>IF(AND(Thyroid_findings&lt;&gt;"",D133&lt;&gt;FALSE),"Free Thyroxine (T4),"&amp;E133,"")</f>
        <v/>
      </c>
      <c r="G133" s="40" t="str">
        <f t="shared" ref="G133" si="10">IF(AND(F133&lt;&gt;"",H133&lt;&gt;""),H133,"")</f>
        <v/>
      </c>
    </row>
    <row r="134" spans="2:8" x14ac:dyDescent="0.25">
      <c r="C134" s="37" t="s">
        <v>382</v>
      </c>
      <c r="D134" s="36" t="b">
        <f>IF(T3_value&lt;&gt;"",TRUE,FALSE)</f>
        <v>0</v>
      </c>
      <c r="E134" s="37" t="str">
        <f>T3_value&amp;T3_units&amp;", "&amp;T3_level</f>
        <v>, not done</v>
      </c>
      <c r="F134" s="50" t="str">
        <f>IF(AND(Thyroid_findings&lt;&gt;"",D134&lt;&gt;FALSE),"Free Thyroxine (T4),"&amp;E134,"")</f>
        <v/>
      </c>
      <c r="G134" s="40" t="str">
        <f t="shared" si="4"/>
        <v/>
      </c>
    </row>
    <row r="135" spans="2:8" ht="90" x14ac:dyDescent="0.25">
      <c r="C135" s="29" t="s">
        <v>204</v>
      </c>
      <c r="D135" s="28" t="b">
        <f>IF(Thyroid_findings&lt;&gt;"",TRUE,FALSE)</f>
        <v>1</v>
      </c>
      <c r="E135" s="32" t="s">
        <v>531</v>
      </c>
      <c r="F135" s="49" t="str">
        <f>IF(D135=TRUE,E135,"")</f>
        <v>The thyroid gland, located in your neck, produces hormones that play a crucial role in regulating various functions in your body, including metabolism, energy levels, and temperature. Measuring thyroid hormones can tell if you have conditions like hypothyroidism (underactive thyroid) or hyperthyroidism (overactive thyroid).</v>
      </c>
      <c r="G135" s="40" t="str">
        <f t="shared" si="4"/>
        <v/>
      </c>
    </row>
    <row r="136" spans="2:8" ht="60" x14ac:dyDescent="0.25">
      <c r="C136" s="29" t="s">
        <v>515</v>
      </c>
      <c r="D136" s="28" t="b">
        <f>IF(TFT_level="normal",TRUE,FALSE)</f>
        <v>0</v>
      </c>
      <c r="E136" s="46" t="s">
        <v>514</v>
      </c>
      <c r="F136" s="49" t="str">
        <f>IF(D136=TRUE,E136,"")</f>
        <v/>
      </c>
      <c r="G136" s="40" t="str">
        <f t="shared" si="4"/>
        <v/>
      </c>
    </row>
    <row r="137" spans="2:8" ht="45" x14ac:dyDescent="0.25">
      <c r="C137" s="29" t="s">
        <v>289</v>
      </c>
      <c r="D137" s="28" t="b">
        <f>IF(TSH_level="high",TRUE,FALSE)</f>
        <v>0</v>
      </c>
      <c r="E137" s="29" t="s">
        <v>266</v>
      </c>
      <c r="F137" s="49" t="str">
        <f>IF(D137=TRUE,E137,"")</f>
        <v/>
      </c>
      <c r="G137" s="40" t="str">
        <f t="shared" si="4"/>
        <v/>
      </c>
      <c r="H137" s="29" t="s">
        <v>408</v>
      </c>
    </row>
    <row r="138" spans="2:8" ht="60" x14ac:dyDescent="0.25">
      <c r="C138" s="29" t="s">
        <v>532</v>
      </c>
      <c r="D138" s="28" t="b">
        <f>IF(AND(TFT_level="abnormal",TSH_level&lt;&gt;"high"),TRUE,FALSE)</f>
        <v>0</v>
      </c>
      <c r="E138" s="29" t="s">
        <v>517</v>
      </c>
      <c r="F138" s="49" t="str">
        <f>IF(D138=TRUE,E138,"")</f>
        <v/>
      </c>
      <c r="G138" s="40" t="str">
        <f t="shared" ref="G138" si="11">IF(AND(F138&lt;&gt;"",H138&lt;&gt;""),H138,"")</f>
        <v/>
      </c>
      <c r="H138" s="29" t="s">
        <v>516</v>
      </c>
    </row>
    <row r="140" spans="2:8" s="2" customFormat="1" x14ac:dyDescent="0.25">
      <c r="B140" s="38" t="s">
        <v>519</v>
      </c>
      <c r="C140" s="39"/>
      <c r="D140" s="38" t="s">
        <v>325</v>
      </c>
      <c r="E140" s="39"/>
      <c r="F140" s="38" t="str">
        <f>IF(AND(Sex="male",testosterone_value&lt;&gt;""),"Male hormones","")</f>
        <v/>
      </c>
      <c r="G140" s="31" t="str">
        <f t="shared" ref="G140" si="12">IF(AND(F140&lt;&gt;"",H140&lt;&gt;""),H140,"")</f>
        <v/>
      </c>
      <c r="H140" s="39"/>
    </row>
    <row r="141" spans="2:8" s="41" customFormat="1" ht="30" x14ac:dyDescent="0.25">
      <c r="B141" s="36"/>
      <c r="C141" s="37" t="s">
        <v>539</v>
      </c>
      <c r="D141" s="36" t="b">
        <f>IF(testosterone_value&lt;&gt;"",TRUE, FALSE)</f>
        <v>0</v>
      </c>
      <c r="E141" s="37" t="str">
        <f>testosterone_value&amp;" "&amp;testosterone_units&amp;", "&amp;testosterone_level</f>
        <v xml:space="preserve"> , not done</v>
      </c>
      <c r="F141" s="50" t="str">
        <f>IF(AND(testosterone_findings&lt;&gt;"",D141&lt;&gt;FALSE),"Free testosterone: "&amp;E141,"")</f>
        <v/>
      </c>
      <c r="G141" s="60"/>
      <c r="H141" s="37"/>
    </row>
    <row r="142" spans="2:8" ht="105" x14ac:dyDescent="0.25">
      <c r="C142" s="29" t="s">
        <v>204</v>
      </c>
      <c r="D142" s="28" t="b">
        <f>IF(testosterone_findings&lt;&gt;"",TRUE,FALSE)</f>
        <v>0</v>
      </c>
      <c r="E142" s="29" t="s">
        <v>538</v>
      </c>
      <c r="F142" s="49" t="str">
        <f>IF(AND(testosterone_findings&lt;&gt;"",D142=TRUE),E142,"")</f>
        <v/>
      </c>
    </row>
    <row r="143" spans="2:8" ht="30" x14ac:dyDescent="0.25">
      <c r="C143" s="29" t="s">
        <v>520</v>
      </c>
      <c r="D143" s="28" t="b">
        <f>IF(testosterone_level="normal",TRUE,FALSE)</f>
        <v>0</v>
      </c>
      <c r="E143" s="29" t="s">
        <v>525</v>
      </c>
      <c r="F143" s="49" t="str">
        <f>IF(AND(testosterone_findings&lt;&gt;"",D143=TRUE),E143,"")</f>
        <v/>
      </c>
      <c r="G143" s="40" t="str">
        <f t="shared" si="4"/>
        <v/>
      </c>
    </row>
    <row r="144" spans="2:8" ht="165" x14ac:dyDescent="0.25">
      <c r="C144" s="29" t="s">
        <v>521</v>
      </c>
      <c r="D144" s="28" t="b">
        <f>IF(testosterone_level="low",TRUE,FALSE)</f>
        <v>0</v>
      </c>
      <c r="E144" s="29" t="s">
        <v>526</v>
      </c>
      <c r="F144" s="49" t="str">
        <f>IF(AND(testosterone_findings&lt;&gt;"",D144=TRUE),E144,"")</f>
        <v/>
      </c>
      <c r="G144" s="40" t="str">
        <f t="shared" si="4"/>
        <v/>
      </c>
      <c r="H144" s="29" t="s">
        <v>528</v>
      </c>
    </row>
    <row r="145" spans="2:8" ht="105" x14ac:dyDescent="0.25">
      <c r="C145" s="29" t="s">
        <v>522</v>
      </c>
      <c r="D145" s="28" t="b">
        <f>IF(testosterone_level="high",TRUE,FALSE)</f>
        <v>0</v>
      </c>
      <c r="E145" s="29" t="s">
        <v>527</v>
      </c>
      <c r="F145" s="49" t="str">
        <f>IF(AND(testosterone_findings&lt;&gt;"",D145=TRUE),E145,"")</f>
        <v/>
      </c>
      <c r="G145" s="40" t="str">
        <f t="shared" si="4"/>
        <v/>
      </c>
      <c r="H145" s="29" t="s">
        <v>529</v>
      </c>
    </row>
    <row r="146" spans="2:8" x14ac:dyDescent="0.25">
      <c r="G146" s="40" t="str">
        <f t="shared" si="4"/>
        <v/>
      </c>
    </row>
    <row r="147" spans="2:8" s="2" customFormat="1" x14ac:dyDescent="0.25">
      <c r="B147" s="38" t="s">
        <v>375</v>
      </c>
      <c r="C147" s="39"/>
      <c r="D147" s="38" t="s">
        <v>325</v>
      </c>
      <c r="E147" s="39"/>
      <c r="F147" s="38" t="str">
        <f>IF(COUNTIF(Data!B:B,troponin_label)&lt;&gt;0,"Troponin-I","")</f>
        <v/>
      </c>
      <c r="G147" s="31" t="str">
        <f t="shared" si="4"/>
        <v/>
      </c>
      <c r="H147" s="39"/>
    </row>
    <row r="148" spans="2:8" s="41" customFormat="1" x14ac:dyDescent="0.25">
      <c r="B148" s="36"/>
      <c r="C148" s="37" t="s">
        <v>203</v>
      </c>
      <c r="D148" s="36" t="b">
        <f>IF(Troponin_value&lt;&gt;"",TRUE,FALSE)</f>
        <v>0</v>
      </c>
      <c r="E148" s="37">
        <f>Troponin_value</f>
        <v>0</v>
      </c>
      <c r="F148" s="50" t="str">
        <f>IF(troponin_findings&lt;&gt;"",E148,"")</f>
        <v/>
      </c>
      <c r="G148" s="40" t="str">
        <f t="shared" si="4"/>
        <v/>
      </c>
      <c r="H148" s="37"/>
    </row>
    <row r="149" spans="2:8" ht="75" x14ac:dyDescent="0.25">
      <c r="C149" s="29" t="s">
        <v>376</v>
      </c>
      <c r="D149" s="28" t="b">
        <f>IF(Troponin_value&lt;&gt;"positive",TRUE,FALSE)</f>
        <v>1</v>
      </c>
      <c r="E149" s="44" t="s">
        <v>377</v>
      </c>
      <c r="F149" s="49" t="str">
        <f>IF(AND(troponin_findings&lt;&gt;"",D149=TRUE),E149,"")</f>
        <v/>
      </c>
      <c r="G149" s="40" t="str">
        <f t="shared" si="4"/>
        <v/>
      </c>
    </row>
    <row r="150" spans="2:8" ht="60" x14ac:dyDescent="0.25">
      <c r="C150" s="29" t="s">
        <v>402</v>
      </c>
      <c r="D150" s="28" t="b">
        <f>IF(Troponin_value="positive",TRUE,FALSE)</f>
        <v>0</v>
      </c>
      <c r="E150" s="44" t="s">
        <v>403</v>
      </c>
      <c r="G150" s="40" t="str">
        <f t="shared" si="4"/>
        <v/>
      </c>
      <c r="H150" s="29" t="s">
        <v>474</v>
      </c>
    </row>
    <row r="151" spans="2:8" s="2" customFormat="1" x14ac:dyDescent="0.25">
      <c r="B151" s="38" t="s">
        <v>374</v>
      </c>
      <c r="C151" s="39"/>
      <c r="D151" s="38" t="s">
        <v>325</v>
      </c>
      <c r="E151" s="39"/>
      <c r="F151" s="38" t="str">
        <f>IF(COUNTIF(Data!B:B,d_dimer_label)&lt;&gt;0,"D-dimer","")</f>
        <v>D-dimer</v>
      </c>
      <c r="G151" s="31" t="str">
        <f t="shared" si="4"/>
        <v/>
      </c>
      <c r="H151" s="39"/>
    </row>
    <row r="152" spans="2:8" s="41" customFormat="1" x14ac:dyDescent="0.25">
      <c r="B152" s="36"/>
      <c r="C152" s="37" t="s">
        <v>203</v>
      </c>
      <c r="D152" s="36" t="b">
        <f>IF(D_dimer_value&lt;&gt;"",TRUE,FALSE)</f>
        <v>0</v>
      </c>
      <c r="E152" s="37" t="str">
        <f>D_dimer_value&amp;", "&amp;d_dimer_summary</f>
        <v xml:space="preserve">, </v>
      </c>
      <c r="F152" s="50" t="str">
        <f>IF(D_dimer_findings&lt;&gt;"",E152,"")</f>
        <v xml:space="preserve">, </v>
      </c>
      <c r="G152" s="40" t="str">
        <f t="shared" si="4"/>
        <v/>
      </c>
      <c r="H152" s="37"/>
    </row>
    <row r="153" spans="2:8" ht="75" x14ac:dyDescent="0.25">
      <c r="C153" s="29" t="s">
        <v>376</v>
      </c>
      <c r="D153" s="28" t="b">
        <f>IF(OR(D_dimer_value="&lt;0.05",D_dimer_value&lt;=0.5),TRUE,FALSE)</f>
        <v>1</v>
      </c>
      <c r="E153" s="44" t="s">
        <v>378</v>
      </c>
      <c r="F153" s="49" t="str">
        <f>IF(AND(D_dimer_findings&lt;&gt;"",D153=TRUE),E153,"")</f>
        <v>A D-dimer blood test that can help determine if you may have a blood clotting condition. A high level of D-dimer can be seen with conditions such as deep vein thrombosis (DVT) and pulmonary embolism (PE). Your D-dimer test is negative, so symptoms are not likely to be due to blood clots</v>
      </c>
      <c r="G153" s="40" t="str">
        <f t="shared" ref="G153:G166" si="13">IF(AND(F153&lt;&gt;"",H153&lt;&gt;""),H153,"")</f>
        <v/>
      </c>
    </row>
    <row r="154" spans="2:8" ht="75" x14ac:dyDescent="0.25">
      <c r="C154" s="29" t="s">
        <v>402</v>
      </c>
      <c r="D154" s="28" t="b">
        <f>IF(D_dimer_value&gt;0.5,TRUE,FALSE)</f>
        <v>0</v>
      </c>
      <c r="E154" s="44" t="s">
        <v>401</v>
      </c>
      <c r="F154" s="49" t="str">
        <f>IF(AND(D_dimer_findings&lt;&gt;"",D154=TRUE),E154,"")</f>
        <v/>
      </c>
      <c r="H154" s="29" t="s">
        <v>475</v>
      </c>
    </row>
    <row r="155" spans="2:8" x14ac:dyDescent="0.25">
      <c r="B155" s="38" t="s">
        <v>268</v>
      </c>
      <c r="C155" s="31"/>
      <c r="D155" s="38" t="s">
        <v>325</v>
      </c>
      <c r="E155" s="31"/>
      <c r="F155" s="38" t="str">
        <f>IF(skin_exam&lt;&gt;"","Skin health","")</f>
        <v/>
      </c>
      <c r="G155" s="31" t="str">
        <f t="shared" si="13"/>
        <v/>
      </c>
      <c r="H155" s="31"/>
    </row>
    <row r="156" spans="2:8" ht="60" x14ac:dyDescent="0.25">
      <c r="C156" s="29" t="s">
        <v>263</v>
      </c>
      <c r="D156" s="28" t="b">
        <f>IF(Skin_title&lt;&gt;"",TRUE,FALSE)</f>
        <v>0</v>
      </c>
      <c r="E156" s="47" t="s">
        <v>388</v>
      </c>
      <c r="F156" s="49" t="str">
        <f>IF(skin_exam_findings&lt;&gt;"",E156,"")</f>
        <v/>
      </c>
      <c r="G156" s="40" t="str">
        <f t="shared" si="13"/>
        <v/>
      </c>
    </row>
    <row r="157" spans="2:8" ht="90" x14ac:dyDescent="0.25">
      <c r="C157" s="29" t="s">
        <v>263</v>
      </c>
      <c r="D157" s="28" t="b">
        <f>IF(Skin_title&lt;&gt;"",TRUE,FALSE)</f>
        <v>0</v>
      </c>
      <c r="E157" s="46" t="s">
        <v>389</v>
      </c>
      <c r="F157" s="49" t="str">
        <f>IF(skin_exam_findings&lt;&gt;"",E157,"")</f>
        <v/>
      </c>
      <c r="G157" s="40" t="str">
        <f t="shared" si="13"/>
        <v/>
      </c>
    </row>
    <row r="158" spans="2:8" ht="60" x14ac:dyDescent="0.25">
      <c r="C158" s="29" t="s">
        <v>263</v>
      </c>
      <c r="D158" s="28" t="b">
        <f>IF(Skin_title&lt;&gt;"",TRUE,FALSE)</f>
        <v>0</v>
      </c>
      <c r="E158" s="47" t="s">
        <v>390</v>
      </c>
      <c r="F158" s="49" t="str">
        <f>IF(skin_exam_findings&lt;&gt;"",E158,"")</f>
        <v/>
      </c>
      <c r="G158" s="40" t="str">
        <f t="shared" si="13"/>
        <v/>
      </c>
    </row>
    <row r="160" spans="2:8" s="2" customFormat="1" x14ac:dyDescent="0.25">
      <c r="B160" s="38" t="s">
        <v>85</v>
      </c>
      <c r="C160" s="39"/>
      <c r="D160" s="38"/>
      <c r="E160" s="39"/>
      <c r="F160" s="38" t="str">
        <f>IF(COUNTIF(recommendations,"?*")&gt;0,"Recommendations","Summary")</f>
        <v>Summary</v>
      </c>
      <c r="G160" s="31"/>
      <c r="H160" s="39"/>
    </row>
    <row r="161" spans="2:8" x14ac:dyDescent="0.25">
      <c r="C161" s="29" t="s">
        <v>395</v>
      </c>
      <c r="D161" s="28" t="b">
        <f>TRUE</f>
        <v>1</v>
      </c>
      <c r="E161" s="29" t="str">
        <f>IF(Data!D17&lt;&gt;"",First_name&amp;", thankyou for arranging this health check. Hopefully the information above will be of some help.","")</f>
        <v/>
      </c>
      <c r="F161" s="49" t="str">
        <f t="shared" ref="F161:F164" si="14">IF(AND(recommendations_findings&lt;&gt;"",D161=TRUE),E161,"")</f>
        <v/>
      </c>
    </row>
    <row r="162" spans="2:8" x14ac:dyDescent="0.25">
      <c r="D162" s="28" t="b">
        <f>IF(recommendations_findings="Recommendations",TRUE,FALSE)</f>
        <v>0</v>
      </c>
      <c r="E162" s="29" t="s">
        <v>398</v>
      </c>
      <c r="F162" s="49" t="str">
        <f t="shared" si="14"/>
        <v/>
      </c>
    </row>
    <row r="163" spans="2:8" x14ac:dyDescent="0.25">
      <c r="D163" s="28" t="b">
        <f>IF(recommendations_findings="Recommendations",TRUE,FALSE)</f>
        <v>0</v>
      </c>
      <c r="E163" s="29" t="s">
        <v>397</v>
      </c>
      <c r="F163" s="49" t="str">
        <f t="shared" si="14"/>
        <v/>
      </c>
    </row>
    <row r="164" spans="2:8" ht="45" x14ac:dyDescent="0.25">
      <c r="D164" s="28" t="b">
        <f>TRUE</f>
        <v>1</v>
      </c>
      <c r="E164" s="29" t="s">
        <v>396</v>
      </c>
      <c r="F164" s="49" t="str">
        <f t="shared" si="14"/>
        <v>Please feel free to schedule a follow up appointment if you have any concerns, or if there are any aspects that you feel we should discuss in more detail.</v>
      </c>
    </row>
    <row r="166" spans="2:8" x14ac:dyDescent="0.25">
      <c r="B166" s="28" t="s">
        <v>175</v>
      </c>
      <c r="C166" s="29" t="s">
        <v>175</v>
      </c>
      <c r="D166" s="28" t="s">
        <v>175</v>
      </c>
      <c r="E166" s="29" t="s">
        <v>175</v>
      </c>
      <c r="F166" s="49" t="s">
        <v>175</v>
      </c>
      <c r="G166" s="40" t="str">
        <f t="shared" si="13"/>
        <v>END</v>
      </c>
      <c r="H166" s="29" t="s">
        <v>175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2:F69"/>
  <sheetViews>
    <sheetView workbookViewId="0">
      <selection activeCell="D44" sqref="D44"/>
    </sheetView>
  </sheetViews>
  <sheetFormatPr defaultRowHeight="15" x14ac:dyDescent="0.25"/>
  <cols>
    <col min="1" max="1" width="6.140625" customWidth="1"/>
    <col min="2" max="2" width="17.42578125" style="28" customWidth="1"/>
    <col min="3" max="3" width="18.28515625" style="28" customWidth="1"/>
    <col min="4" max="4" width="80.42578125" style="29" customWidth="1"/>
    <col min="5" max="5" width="30.42578125" style="29" customWidth="1"/>
  </cols>
  <sheetData>
    <row r="2" spans="2:6" ht="21" x14ac:dyDescent="0.25">
      <c r="B2" s="27" t="s">
        <v>302</v>
      </c>
    </row>
    <row r="4" spans="2:6" x14ac:dyDescent="0.25">
      <c r="B4" s="30" t="s">
        <v>303</v>
      </c>
      <c r="C4" s="30" t="s">
        <v>304</v>
      </c>
      <c r="D4" s="31" t="s">
        <v>106</v>
      </c>
      <c r="E4" s="31" t="s">
        <v>343</v>
      </c>
      <c r="F4" t="s">
        <v>305</v>
      </c>
    </row>
    <row r="5" spans="2:6" ht="9" customHeight="1" x14ac:dyDescent="0.25"/>
    <row r="6" spans="2:6" ht="30.95" customHeight="1" x14ac:dyDescent="0.25">
      <c r="B6" s="28" t="s">
        <v>306</v>
      </c>
      <c r="C6" t="s">
        <v>190</v>
      </c>
      <c r="D6" s="29" t="s">
        <v>296</v>
      </c>
    </row>
    <row r="7" spans="2:6" ht="60" x14ac:dyDescent="0.25">
      <c r="B7" s="28" t="s">
        <v>306</v>
      </c>
      <c r="C7" s="28" t="s">
        <v>307</v>
      </c>
      <c r="D7" s="29" t="s">
        <v>469</v>
      </c>
    </row>
    <row r="8" spans="2:6" ht="45" x14ac:dyDescent="0.25">
      <c r="B8" s="28" t="str">
        <f>B7</f>
        <v>BMI</v>
      </c>
      <c r="C8" s="28" t="s">
        <v>308</v>
      </c>
      <c r="D8" s="29" t="s">
        <v>309</v>
      </c>
    </row>
    <row r="9" spans="2:6" ht="60" x14ac:dyDescent="0.25">
      <c r="B9" s="28" t="str">
        <f>B7</f>
        <v>BMI</v>
      </c>
      <c r="C9" s="28" t="s">
        <v>310</v>
      </c>
      <c r="D9" s="29" t="s">
        <v>299</v>
      </c>
    </row>
    <row r="10" spans="2:6" ht="60" x14ac:dyDescent="0.25">
      <c r="B10" s="28" t="str">
        <f>B7</f>
        <v>BMI</v>
      </c>
      <c r="C10" s="28" t="s">
        <v>311</v>
      </c>
      <c r="D10" s="29" t="s">
        <v>300</v>
      </c>
    </row>
    <row r="11" spans="2:6" ht="45" x14ac:dyDescent="0.25">
      <c r="B11" s="28" t="str">
        <f>B7</f>
        <v>BMI</v>
      </c>
      <c r="C11" s="28" t="s">
        <v>312</v>
      </c>
      <c r="D11" s="29" t="s">
        <v>313</v>
      </c>
    </row>
    <row r="12" spans="2:6" ht="75" x14ac:dyDescent="0.25">
      <c r="B12" s="28" t="str">
        <f>B7</f>
        <v>BMI</v>
      </c>
      <c r="C12" s="28" t="s">
        <v>190</v>
      </c>
      <c r="D12" s="29" t="s">
        <v>191</v>
      </c>
    </row>
    <row r="14" spans="2:6" x14ac:dyDescent="0.25">
      <c r="B14" s="28" t="s">
        <v>64</v>
      </c>
      <c r="C14" s="28" t="s">
        <v>107</v>
      </c>
    </row>
    <row r="15" spans="2:6" ht="60" x14ac:dyDescent="0.25">
      <c r="C15" s="28" t="s">
        <v>103</v>
      </c>
      <c r="D15" s="29" t="s">
        <v>102</v>
      </c>
    </row>
    <row r="16" spans="2:6" ht="60" x14ac:dyDescent="0.25">
      <c r="C16" s="28" t="s">
        <v>193</v>
      </c>
      <c r="D16" s="29" t="s">
        <v>104</v>
      </c>
    </row>
    <row r="17" spans="2:6" ht="105" x14ac:dyDescent="0.25">
      <c r="C17" s="28" t="s">
        <v>192</v>
      </c>
      <c r="D17" s="29" t="s">
        <v>105</v>
      </c>
    </row>
    <row r="19" spans="2:6" s="28" customFormat="1" x14ac:dyDescent="0.25">
      <c r="B19" s="28" t="s">
        <v>110</v>
      </c>
      <c r="C19" s="28" t="s">
        <v>222</v>
      </c>
      <c r="D19" s="29"/>
      <c r="E19" s="29"/>
    </row>
    <row r="20" spans="2:6" s="28" customFormat="1" x14ac:dyDescent="0.25">
      <c r="D20" s="29"/>
      <c r="E20" s="29"/>
    </row>
    <row r="21" spans="2:6" s="28" customFormat="1" ht="60" x14ac:dyDescent="0.25">
      <c r="C21" s="28" t="s">
        <v>337</v>
      </c>
      <c r="D21" s="29" t="s">
        <v>340</v>
      </c>
      <c r="E21" s="29"/>
    </row>
    <row r="22" spans="2:6" s="28" customFormat="1" ht="60" x14ac:dyDescent="0.25">
      <c r="C22" s="28" t="s">
        <v>338</v>
      </c>
      <c r="D22" s="29" t="s">
        <v>339</v>
      </c>
      <c r="E22" s="29"/>
    </row>
    <row r="23" spans="2:6" s="28" customFormat="1" ht="45" x14ac:dyDescent="0.25">
      <c r="C23" s="28" t="s">
        <v>330</v>
      </c>
      <c r="D23" s="29" t="s">
        <v>329</v>
      </c>
      <c r="E23" s="29"/>
    </row>
    <row r="24" spans="2:6" s="28" customFormat="1" ht="30" x14ac:dyDescent="0.25">
      <c r="C24" s="28" t="s">
        <v>331</v>
      </c>
      <c r="D24" s="29" t="s">
        <v>328</v>
      </c>
      <c r="E24" s="29"/>
    </row>
    <row r="25" spans="2:6" s="28" customFormat="1" ht="45" x14ac:dyDescent="0.25">
      <c r="C25" s="28" t="s">
        <v>332</v>
      </c>
      <c r="D25" s="29" t="s">
        <v>327</v>
      </c>
      <c r="E25" s="29"/>
    </row>
    <row r="26" spans="2:6" s="28" customFormat="1" ht="30" x14ac:dyDescent="0.25">
      <c r="C26" s="28" t="s">
        <v>333</v>
      </c>
      <c r="D26" s="29" t="s">
        <v>334</v>
      </c>
      <c r="E26" s="29"/>
    </row>
    <row r="27" spans="2:6" s="28" customFormat="1" ht="45" x14ac:dyDescent="0.25">
      <c r="C27" s="28" t="s">
        <v>335</v>
      </c>
      <c r="D27" s="29" t="s">
        <v>336</v>
      </c>
      <c r="E27" s="29" t="s">
        <v>348</v>
      </c>
    </row>
    <row r="28" spans="2:6" s="28" customFormat="1" ht="75" x14ac:dyDescent="0.25">
      <c r="C28" s="28" t="s">
        <v>190</v>
      </c>
      <c r="D28" s="29" t="s">
        <v>195</v>
      </c>
      <c r="E28" s="29"/>
    </row>
    <row r="29" spans="2:6" s="28" customFormat="1" ht="165" x14ac:dyDescent="0.25">
      <c r="C29" s="28" t="s">
        <v>326</v>
      </c>
      <c r="D29" s="29" t="s">
        <v>341</v>
      </c>
      <c r="E29" s="29" t="s">
        <v>342</v>
      </c>
      <c r="F29" s="28" t="s">
        <v>344</v>
      </c>
    </row>
    <row r="31" spans="2:6" s="28" customFormat="1" ht="60" x14ac:dyDescent="0.25">
      <c r="B31" s="28" t="str">
        <f>Diabetes_label</f>
        <v>Diabetes</v>
      </c>
      <c r="C31" s="28" t="s">
        <v>114</v>
      </c>
      <c r="D31" s="29" t="s">
        <v>196</v>
      </c>
      <c r="E31" s="29"/>
    </row>
    <row r="32" spans="2:6" s="28" customFormat="1" ht="135" x14ac:dyDescent="0.25">
      <c r="C32" s="28" t="s">
        <v>115</v>
      </c>
      <c r="D32" s="29" t="s">
        <v>257</v>
      </c>
      <c r="E32" s="29"/>
    </row>
    <row r="33" spans="2:5" s="28" customFormat="1" ht="105" x14ac:dyDescent="0.25">
      <c r="C33" s="28" t="s">
        <v>116</v>
      </c>
      <c r="D33" s="29" t="s">
        <v>117</v>
      </c>
      <c r="E33" s="29"/>
    </row>
    <row r="34" spans="2:5" s="28" customFormat="1" ht="60" x14ac:dyDescent="0.25">
      <c r="C34" s="28" t="s">
        <v>249</v>
      </c>
      <c r="D34" s="29" t="s">
        <v>118</v>
      </c>
      <c r="E34" s="29"/>
    </row>
    <row r="35" spans="2:5" s="28" customFormat="1" ht="75" x14ac:dyDescent="0.25">
      <c r="C35" s="28" t="s">
        <v>250</v>
      </c>
      <c r="D35" s="29" t="s">
        <v>119</v>
      </c>
      <c r="E35" s="29"/>
    </row>
    <row r="36" spans="2:5" s="28" customFormat="1" ht="45" x14ac:dyDescent="0.25">
      <c r="C36" s="28" t="s">
        <v>271</v>
      </c>
      <c r="D36" s="29" t="s">
        <v>270</v>
      </c>
      <c r="E36" s="29"/>
    </row>
    <row r="37" spans="2:5" s="28" customFormat="1" ht="30" x14ac:dyDescent="0.25">
      <c r="C37" s="28" t="s">
        <v>272</v>
      </c>
      <c r="D37" s="29" t="s">
        <v>273</v>
      </c>
      <c r="E37" s="29"/>
    </row>
    <row r="39" spans="2:5" s="28" customFormat="1" ht="90" x14ac:dyDescent="0.25">
      <c r="B39" s="28" t="str">
        <f>Liver_label</f>
        <v>Liver</v>
      </c>
      <c r="C39" s="28" t="s">
        <v>215</v>
      </c>
      <c r="D39" s="29" t="s">
        <v>214</v>
      </c>
      <c r="E39" s="29"/>
    </row>
    <row r="40" spans="2:5" s="28" customFormat="1" x14ac:dyDescent="0.25">
      <c r="C40" s="28" t="s">
        <v>216</v>
      </c>
      <c r="D40" s="29" t="s">
        <v>217</v>
      </c>
      <c r="E40" s="29"/>
    </row>
    <row r="41" spans="2:5" s="28" customFormat="1" ht="105" x14ac:dyDescent="0.25">
      <c r="C41" s="28" t="s">
        <v>75</v>
      </c>
      <c r="D41" s="29" t="s">
        <v>211</v>
      </c>
      <c r="E41" s="29"/>
    </row>
    <row r="43" spans="2:5" s="28" customFormat="1" ht="45" x14ac:dyDescent="0.25">
      <c r="B43" s="28" t="str">
        <f>kidney_label</f>
        <v>kidney</v>
      </c>
      <c r="C43" s="28" t="s">
        <v>38</v>
      </c>
      <c r="D43" s="29" t="s">
        <v>353</v>
      </c>
      <c r="E43" s="29"/>
    </row>
    <row r="44" spans="2:5" s="28" customFormat="1" ht="60" x14ac:dyDescent="0.25">
      <c r="C44" s="28" t="s">
        <v>213</v>
      </c>
      <c r="D44" s="29" t="s">
        <v>354</v>
      </c>
      <c r="E44" s="29"/>
    </row>
    <row r="46" spans="2:5" s="28" customFormat="1" ht="75" x14ac:dyDescent="0.25">
      <c r="B46" s="28" t="str">
        <f>Haematology_label</f>
        <v>Haematology</v>
      </c>
      <c r="C46" s="28" t="s">
        <v>223</v>
      </c>
      <c r="D46" s="29" t="s">
        <v>226</v>
      </c>
      <c r="E46" s="29"/>
    </row>
    <row r="47" spans="2:5" s="28" customFormat="1" ht="60" x14ac:dyDescent="0.25">
      <c r="C47" s="28" t="s">
        <v>224</v>
      </c>
      <c r="D47" s="29" t="s">
        <v>225</v>
      </c>
      <c r="E47" s="29"/>
    </row>
    <row r="48" spans="2:5" s="28" customFormat="1" ht="30" x14ac:dyDescent="0.25">
      <c r="C48" s="28" t="s">
        <v>291</v>
      </c>
      <c r="D48" s="29" t="s">
        <v>292</v>
      </c>
      <c r="E48" s="29"/>
    </row>
    <row r="49" spans="2:5" s="28" customFormat="1" ht="105" x14ac:dyDescent="0.25">
      <c r="C49" s="28" t="s">
        <v>290</v>
      </c>
      <c r="D49" s="29" t="s">
        <v>293</v>
      </c>
      <c r="E49" s="29"/>
    </row>
    <row r="50" spans="2:5" s="28" customFormat="1" ht="60" x14ac:dyDescent="0.25">
      <c r="C50" s="28" t="s">
        <v>233</v>
      </c>
      <c r="D50" s="29" t="s">
        <v>228</v>
      </c>
      <c r="E50" s="29"/>
    </row>
    <row r="51" spans="2:5" s="28" customFormat="1" ht="60" x14ac:dyDescent="0.25">
      <c r="C51" s="28" t="s">
        <v>356</v>
      </c>
      <c r="D51" s="29" t="s">
        <v>227</v>
      </c>
      <c r="E51" s="29"/>
    </row>
    <row r="52" spans="2:5" s="28" customFormat="1" ht="75" x14ac:dyDescent="0.25">
      <c r="C52" s="28" t="s">
        <v>232</v>
      </c>
      <c r="D52" s="29" t="s">
        <v>231</v>
      </c>
      <c r="E52" s="29"/>
    </row>
    <row r="53" spans="2:5" s="28" customFormat="1" ht="45" x14ac:dyDescent="0.25">
      <c r="C53" s="28" t="s">
        <v>229</v>
      </c>
      <c r="D53" s="29" t="s">
        <v>230</v>
      </c>
      <c r="E53" s="29"/>
    </row>
    <row r="55" spans="2:5" s="28" customFormat="1" ht="45" x14ac:dyDescent="0.25">
      <c r="B55" s="28" t="str">
        <f>Prostate_label</f>
        <v>Prostate</v>
      </c>
      <c r="C55" s="28" t="s">
        <v>38</v>
      </c>
      <c r="D55" s="29" t="s">
        <v>238</v>
      </c>
      <c r="E55" s="29"/>
    </row>
    <row r="56" spans="2:5" s="28" customFormat="1" ht="90" x14ac:dyDescent="0.25">
      <c r="C56" s="28" t="s">
        <v>237</v>
      </c>
      <c r="D56" s="29" t="s">
        <v>239</v>
      </c>
      <c r="E56" s="29"/>
    </row>
    <row r="58" spans="2:5" s="28" customFormat="1" ht="60" x14ac:dyDescent="0.25">
      <c r="B58" s="28" t="str">
        <f>Faeces_label</f>
        <v>Faeces</v>
      </c>
      <c r="C58" s="28" t="s">
        <v>253</v>
      </c>
      <c r="D58" s="29" t="s">
        <v>256</v>
      </c>
      <c r="E58" s="29"/>
    </row>
    <row r="59" spans="2:5" s="28" customFormat="1" ht="60" x14ac:dyDescent="0.25">
      <c r="C59" s="28" t="s">
        <v>254</v>
      </c>
      <c r="D59" s="29" t="s">
        <v>255</v>
      </c>
      <c r="E59" s="29"/>
    </row>
    <row r="61" spans="2:5" s="28" customFormat="1" ht="45" x14ac:dyDescent="0.25">
      <c r="B61" s="28" t="str">
        <f>Thyroid_label</f>
        <v>Thyroid</v>
      </c>
      <c r="C61" s="28" t="s">
        <v>190</v>
      </c>
      <c r="D61" s="32" t="s">
        <v>265</v>
      </c>
      <c r="E61" s="29"/>
    </row>
    <row r="62" spans="2:5" s="28" customFormat="1" ht="30" x14ac:dyDescent="0.25">
      <c r="C62" s="28" t="s">
        <v>287</v>
      </c>
      <c r="D62" s="29" t="s">
        <v>264</v>
      </c>
      <c r="E62" s="29"/>
    </row>
    <row r="63" spans="2:5" s="28" customFormat="1" ht="45" x14ac:dyDescent="0.25">
      <c r="C63" s="28" t="s">
        <v>288</v>
      </c>
      <c r="D63" s="29" t="s">
        <v>266</v>
      </c>
      <c r="E63" s="29"/>
    </row>
    <row r="65" spans="2:5" s="28" customFormat="1" ht="90" x14ac:dyDescent="0.25">
      <c r="B65" s="28" t="str">
        <f>Vitamins_label</f>
        <v>Vitamins</v>
      </c>
      <c r="C65" s="28" t="s">
        <v>284</v>
      </c>
      <c r="D65" s="33" t="s">
        <v>276</v>
      </c>
      <c r="E65" s="29"/>
    </row>
    <row r="66" spans="2:5" s="28" customFormat="1" ht="105" x14ac:dyDescent="0.25">
      <c r="C66" s="28" t="s">
        <v>277</v>
      </c>
      <c r="D66" s="34" t="s">
        <v>279</v>
      </c>
      <c r="E66" s="29"/>
    </row>
    <row r="67" spans="2:5" s="28" customFormat="1" ht="90" x14ac:dyDescent="0.25">
      <c r="C67" s="28" t="s">
        <v>283</v>
      </c>
      <c r="D67" s="34" t="s">
        <v>280</v>
      </c>
      <c r="E67" s="29"/>
    </row>
    <row r="68" spans="2:5" s="28" customFormat="1" ht="45" x14ac:dyDescent="0.25">
      <c r="C68" s="28" t="s">
        <v>285</v>
      </c>
      <c r="D68" s="33" t="s">
        <v>282</v>
      </c>
      <c r="E68" s="29"/>
    </row>
    <row r="69" spans="2:5" s="28" customFormat="1" ht="75" x14ac:dyDescent="0.25">
      <c r="C69" s="28" t="s">
        <v>278</v>
      </c>
      <c r="D69" s="33" t="s">
        <v>281</v>
      </c>
      <c r="E69" s="2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2:E29"/>
  <sheetViews>
    <sheetView workbookViewId="0">
      <selection activeCell="E22" sqref="E22"/>
    </sheetView>
  </sheetViews>
  <sheetFormatPr defaultRowHeight="15" x14ac:dyDescent="0.25"/>
  <cols>
    <col min="2" max="2" width="14.5703125" customWidth="1"/>
    <col min="3" max="3" width="31.5703125" customWidth="1"/>
    <col min="4" max="4" width="13.5703125" customWidth="1"/>
    <col min="5" max="5" width="12.28515625" customWidth="1"/>
  </cols>
  <sheetData>
    <row r="2" spans="2:5" x14ac:dyDescent="0.25">
      <c r="B2" t="s">
        <v>97</v>
      </c>
    </row>
    <row r="4" spans="2:5" x14ac:dyDescent="0.25">
      <c r="B4" t="s">
        <v>101</v>
      </c>
      <c r="C4" t="s">
        <v>100</v>
      </c>
      <c r="D4" s="10" t="s">
        <v>98</v>
      </c>
      <c r="E4" t="s">
        <v>99</v>
      </c>
    </row>
    <row r="5" spans="2:5" x14ac:dyDescent="0.25">
      <c r="B5" t="str">
        <f>IF(AND(Data!$B61&lt;&gt;"",Data!$D61&lt;&gt;""),Data!B61,"")</f>
        <v/>
      </c>
      <c r="C5" t="str">
        <f>IF(Data!$D61&lt;&gt;"",Data!C61,"")</f>
        <v/>
      </c>
      <c r="D5" t="str">
        <f>IF(Data!$D61&lt;&gt;"",Data!D61&amp;" "&amp;Data!E61,"")</f>
        <v/>
      </c>
      <c r="E5" s="8" t="str">
        <f>IF(Data!D61&lt;&gt;"",Data!F61&amp;" - "&amp;Data!G61,"")</f>
        <v/>
      </c>
    </row>
    <row r="6" spans="2:5" x14ac:dyDescent="0.25">
      <c r="B6" t="str">
        <f>IF(AND(Data!$B62&lt;&gt;"",Data!$D62&lt;&gt;""),Data!B62,"")</f>
        <v/>
      </c>
      <c r="C6" t="str">
        <f>IF(Data!$D62&lt;&gt;"",Data!C62,"")</f>
        <v/>
      </c>
      <c r="D6" t="str">
        <f>IF(Data!$D62&lt;&gt;"",Data!D62&amp;" "&amp;Data!E62,"")</f>
        <v/>
      </c>
      <c r="E6" s="8" t="str">
        <f>IF(Data!D62&lt;&gt;"",Data!F62&amp;" - "&amp;Data!G62,"")</f>
        <v/>
      </c>
    </row>
    <row r="7" spans="2:5" x14ac:dyDescent="0.25">
      <c r="B7" t="str">
        <f>IF(AND(Data!$B63&lt;&gt;"",Data!$D63&lt;&gt;""),Data!B63,"")</f>
        <v/>
      </c>
      <c r="C7" t="str">
        <f>IF(Data!$D63&lt;&gt;"",Data!C63,"")</f>
        <v/>
      </c>
      <c r="D7" t="str">
        <f>IF(Data!$D63&lt;&gt;"",Data!D63&amp;" "&amp;Data!E63,"")</f>
        <v/>
      </c>
      <c r="E7" s="8" t="str">
        <f>IF(Data!D63&lt;&gt;"",Data!F63&amp;" - "&amp;Data!G63,"")</f>
        <v/>
      </c>
    </row>
    <row r="8" spans="2:5" x14ac:dyDescent="0.25">
      <c r="B8" t="str">
        <f>IF(AND(Data!$B64&lt;&gt;"",Data!$D64&lt;&gt;""),Data!B64,"")</f>
        <v/>
      </c>
      <c r="C8" t="str">
        <f>IF(Data!$D64&lt;&gt;"",Data!C64,"")</f>
        <v/>
      </c>
      <c r="D8" t="str">
        <f>IF(Data!$D64&lt;&gt;"",Data!D64&amp;" "&amp;Data!E64,"")</f>
        <v/>
      </c>
      <c r="E8" s="8" t="str">
        <f>IF(Data!D64&lt;&gt;"",Data!F64&amp;" - "&amp;Data!G64,"")</f>
        <v/>
      </c>
    </row>
    <row r="9" spans="2:5" x14ac:dyDescent="0.25">
      <c r="B9" t="str">
        <f>IF(AND(Data!$B68&lt;&gt;"",Data!$D68&lt;&gt;""),Data!B68,"")</f>
        <v/>
      </c>
      <c r="C9" t="str">
        <f>IF(Data!$D68&lt;&gt;"",Data!C68,"")</f>
        <v/>
      </c>
      <c r="D9" t="str">
        <f>IF(Data!$D68&lt;&gt;"",Data!D68&amp;" "&amp;Data!E68,"")</f>
        <v/>
      </c>
      <c r="E9" s="8" t="str">
        <f>IF(Data!D68&lt;&gt;"",Data!F68&amp;" - "&amp;Data!G68,"")</f>
        <v/>
      </c>
    </row>
    <row r="10" spans="2:5" x14ac:dyDescent="0.25">
      <c r="B10" t="str">
        <f>IF(AND(Data!$B71&lt;&gt;"",Data!$D71&lt;&gt;""),Data!B71,"")</f>
        <v/>
      </c>
      <c r="C10" t="str">
        <f>IF(Data!$D71&lt;&gt;"",Data!C71,"")</f>
        <v/>
      </c>
      <c r="D10" t="str">
        <f>IF(Data!$D71&lt;&gt;"",Data!D71&amp;" "&amp;Data!E71,"")</f>
        <v/>
      </c>
      <c r="E10" s="8" t="str">
        <f>IF(Data!D71&lt;&gt;"",Data!F71&amp;" - "&amp;Data!G71,"")</f>
        <v/>
      </c>
    </row>
    <row r="11" spans="2:5" x14ac:dyDescent="0.25">
      <c r="B11" t="str">
        <f>IF(AND(Data!$B72&lt;&gt;"",Data!$D72&lt;&gt;""),Data!B72,"")</f>
        <v/>
      </c>
      <c r="C11" t="str">
        <f>IF(Data!$D72&lt;&gt;"",Data!C72,"")</f>
        <v/>
      </c>
      <c r="D11" t="str">
        <f>IF(Data!$D72&lt;&gt;"",Data!D72&amp;" "&amp;Data!E72,"")</f>
        <v/>
      </c>
      <c r="E11" s="8" t="str">
        <f>IF(Data!D72&lt;&gt;"",Data!F72&amp;" - "&amp;Data!G72,"")</f>
        <v/>
      </c>
    </row>
    <row r="12" spans="2:5" x14ac:dyDescent="0.25">
      <c r="B12" t="str">
        <f>IF(AND(Data!$B73&lt;&gt;"",Data!$D73&lt;&gt;""),Data!B73,"")</f>
        <v/>
      </c>
      <c r="C12" t="str">
        <f>IF(Data!$D73&lt;&gt;"",Data!C73,"")</f>
        <v/>
      </c>
      <c r="D12" t="str">
        <f>IF(Data!$D73&lt;&gt;"",Data!D73&amp;" "&amp;Data!E73,"")</f>
        <v/>
      </c>
      <c r="E12" s="8" t="str">
        <f>IF(Data!D73&lt;&gt;"",Data!F73&amp;" - "&amp;Data!G73,"")</f>
        <v/>
      </c>
    </row>
    <row r="13" spans="2:5" x14ac:dyDescent="0.25">
      <c r="B13" t="str">
        <f>IF(AND(Data!$B74&lt;&gt;"",Data!$D74&lt;&gt;""),Data!B74,"")</f>
        <v/>
      </c>
      <c r="C13" t="str">
        <f>IF(Data!$D74&lt;&gt;"",Data!C74,"")</f>
        <v/>
      </c>
      <c r="D13" t="str">
        <f>IF(Data!$D74&lt;&gt;"",Data!D74&amp;" "&amp;Data!E74,"")</f>
        <v/>
      </c>
      <c r="E13" s="8" t="str">
        <f>IF(Data!D74&lt;&gt;"",Data!F74&amp;" - "&amp;Data!G74,"")</f>
        <v/>
      </c>
    </row>
    <row r="14" spans="2:5" x14ac:dyDescent="0.25">
      <c r="B14" t="e">
        <f>IF(AND(Data!#REF!&lt;&gt;"",Data!#REF!&lt;&gt;""),Data!#REF!,"")</f>
        <v>#REF!</v>
      </c>
      <c r="C14" t="e">
        <f>IF(Data!#REF!&lt;&gt;"",Data!#REF!,"")</f>
        <v>#REF!</v>
      </c>
      <c r="D14" t="e">
        <f>IF(Data!#REF!&lt;&gt;"",Data!#REF!&amp;" "&amp;Data!#REF!,"")</f>
        <v>#REF!</v>
      </c>
      <c r="E14" s="8" t="e">
        <f>IF(Data!#REF!&lt;&gt;"",Data!#REF!&amp;" - "&amp;Data!#REF!,"")</f>
        <v>#REF!</v>
      </c>
    </row>
    <row r="15" spans="2:5" x14ac:dyDescent="0.25">
      <c r="B15" t="e">
        <f>IF(AND(Data!#REF!&lt;&gt;"",Data!#REF!&lt;&gt;""),Data!#REF!,"")</f>
        <v>#REF!</v>
      </c>
      <c r="C15" t="e">
        <f>IF(Data!#REF!&lt;&gt;"",Data!#REF!,"")</f>
        <v>#REF!</v>
      </c>
      <c r="D15" t="e">
        <f>IF(Data!#REF!&lt;&gt;"",Data!#REF!&amp;" "&amp;Data!#REF!,"")</f>
        <v>#REF!</v>
      </c>
      <c r="E15" s="8" t="e">
        <f>IF(Data!#REF!&lt;&gt;"",Data!#REF!&amp;" - "&amp;Data!#REF!,"")</f>
        <v>#REF!</v>
      </c>
    </row>
    <row r="16" spans="2:5" x14ac:dyDescent="0.25">
      <c r="B16" t="str">
        <f>IF(AND(Data!$B76&lt;&gt;"",Data!$D76&lt;&gt;""),Data!B76,"")</f>
        <v/>
      </c>
      <c r="C16" t="str">
        <f>IF(Data!$D76&lt;&gt;"",Data!C76,"")</f>
        <v/>
      </c>
      <c r="D16" t="str">
        <f>IF(Data!$D76&lt;&gt;"",Data!D76&amp;" "&amp;Data!E76,"")</f>
        <v/>
      </c>
      <c r="E16" s="8" t="str">
        <f>IF(Data!D76&lt;&gt;"",Data!F76&amp;" - "&amp;Data!G76,"")</f>
        <v/>
      </c>
    </row>
    <row r="17" spans="2:5" x14ac:dyDescent="0.25">
      <c r="B17" t="str">
        <f>IF(AND(Data!$B77&lt;&gt;"",Data!$D77&lt;&gt;""),Data!B77,"")</f>
        <v/>
      </c>
      <c r="C17" t="str">
        <f>IF(Data!$D77&lt;&gt;"",Data!C77,"")</f>
        <v/>
      </c>
      <c r="D17" t="str">
        <f>IF(Data!$D77&lt;&gt;"",Data!D77&amp;" "&amp;Data!E77,"")</f>
        <v/>
      </c>
      <c r="E17" s="8" t="str">
        <f>IF(Data!D77&lt;&gt;"",Data!F77&amp;" - "&amp;Data!G77,"")</f>
        <v/>
      </c>
    </row>
    <row r="18" spans="2:5" x14ac:dyDescent="0.25">
      <c r="B18" t="str">
        <f>IF(AND(Data!$B78&lt;&gt;"",Data!$D78&lt;&gt;""),Data!B78,"")</f>
        <v/>
      </c>
      <c r="C18" t="str">
        <f>IF(Data!$D78&lt;&gt;"",Data!C78,"")</f>
        <v/>
      </c>
      <c r="D18" t="str">
        <f>IF(Data!$D78&lt;&gt;"",Data!D78&amp;" "&amp;Data!E78,"")</f>
        <v/>
      </c>
      <c r="E18" s="8" t="str">
        <f>IF(Data!D78&lt;&gt;"",Data!F78&amp;" - "&amp;Data!G78,"")</f>
        <v/>
      </c>
    </row>
    <row r="19" spans="2:5" x14ac:dyDescent="0.25">
      <c r="B19" t="str">
        <f>IF(AND(Data!$B79&lt;&gt;"",Data!$D79&lt;&gt;""),Data!B79,"")</f>
        <v/>
      </c>
      <c r="C19" t="str">
        <f>IF(Data!$D79&lt;&gt;"",Data!C79,"")</f>
        <v/>
      </c>
      <c r="D19" t="str">
        <f>IF(Data!$D79&lt;&gt;"",Data!D79&amp;" "&amp;Data!E79,"")</f>
        <v/>
      </c>
      <c r="E19" s="8" t="str">
        <f>IF(Data!D79&lt;&gt;"",Data!F79&amp;" - "&amp;Data!G79,"")</f>
        <v/>
      </c>
    </row>
    <row r="20" spans="2:5" x14ac:dyDescent="0.25">
      <c r="B20" t="e">
        <f>IF(AND(Data!#REF!&lt;&gt;"",Data!#REF!&lt;&gt;""),Data!#REF!,"")</f>
        <v>#REF!</v>
      </c>
      <c r="C20" t="e">
        <f>IF(Data!#REF!&lt;&gt;"",Data!#REF!,"")</f>
        <v>#REF!</v>
      </c>
      <c r="D20" t="e">
        <f>IF(Data!#REF!&lt;&gt;"",Data!#REF!&amp;" "&amp;Data!#REF!,"")</f>
        <v>#REF!</v>
      </c>
      <c r="E20" s="8" t="e">
        <f>IF(Data!#REF!&lt;&gt;"",Data!#REF!&amp;" - "&amp;Data!#REF!,"")</f>
        <v>#REF!</v>
      </c>
    </row>
    <row r="21" spans="2:5" x14ac:dyDescent="0.25">
      <c r="B21" t="e">
        <f>IF(AND(Data!#REF!&lt;&gt;"",Data!#REF!&lt;&gt;""),Data!#REF!,"")</f>
        <v>#REF!</v>
      </c>
      <c r="C21" t="e">
        <f>IF(Data!#REF!&lt;&gt;"",Data!#REF!,"")</f>
        <v>#REF!</v>
      </c>
      <c r="D21" t="e">
        <f>IF(Data!#REF!&lt;&gt;"",Data!#REF!&amp;" "&amp;Data!#REF!,"")</f>
        <v>#REF!</v>
      </c>
      <c r="E21" s="8" t="e">
        <f>IF(Data!#REF!&lt;&gt;"",Data!#REF!&amp;" - "&amp;Data!#REF!,"")</f>
        <v>#REF!</v>
      </c>
    </row>
    <row r="22" spans="2:5" x14ac:dyDescent="0.25">
      <c r="B22" t="e">
        <f>IF(AND(Data!#REF!&lt;&gt;"",Data!#REF!&lt;&gt;""),Data!#REF!,"")</f>
        <v>#REF!</v>
      </c>
      <c r="C22" t="e">
        <f>IF(Data!#REF!&lt;&gt;"",Data!#REF!,"")</f>
        <v>#REF!</v>
      </c>
      <c r="D22" t="e">
        <f>IF(Data!#REF!&lt;&gt;"",Data!#REF!&amp;" "&amp;Data!#REF!,"")</f>
        <v>#REF!</v>
      </c>
      <c r="E22" s="8" t="e">
        <f>IF(Data!#REF!&lt;&gt;"",Data!#REF!&amp;" - "&amp;Data!#REF!,"")</f>
        <v>#REF!</v>
      </c>
    </row>
    <row r="23" spans="2:5" x14ac:dyDescent="0.25">
      <c r="B23" t="e">
        <f>IF(AND(Data!#REF!&lt;&gt;"",Data!#REF!&lt;&gt;""),Data!#REF!,"")</f>
        <v>#REF!</v>
      </c>
      <c r="C23" t="e">
        <f>IF(Data!#REF!&lt;&gt;"",Data!#REF!,"")</f>
        <v>#REF!</v>
      </c>
      <c r="D23" t="e">
        <f>IF(Data!#REF!&lt;&gt;"",Data!#REF!&amp;" "&amp;Data!#REF!,"")</f>
        <v>#REF!</v>
      </c>
      <c r="E23" s="8" t="e">
        <f>IF(Data!#REF!&lt;&gt;"",Data!#REF!&amp;" - "&amp;Data!#REF!,"")</f>
        <v>#REF!</v>
      </c>
    </row>
    <row r="24" spans="2:5" x14ac:dyDescent="0.25">
      <c r="B24" t="e">
        <f>IF(AND(Data!#REF!&lt;&gt;"",Data!#REF!&lt;&gt;""),Data!#REF!,"")</f>
        <v>#REF!</v>
      </c>
      <c r="C24" t="e">
        <f>IF(Data!#REF!&lt;&gt;"",Data!#REF!,"")</f>
        <v>#REF!</v>
      </c>
      <c r="D24" t="e">
        <f>IF(Data!#REF!&lt;&gt;"",Data!#REF!&amp;" "&amp;Data!#REF!,"")</f>
        <v>#REF!</v>
      </c>
      <c r="E24" s="8" t="e">
        <f>IF(Data!#REF!&lt;&gt;"",Data!#REF!&amp;" - "&amp;Data!#REF!,"")</f>
        <v>#REF!</v>
      </c>
    </row>
    <row r="25" spans="2:5" x14ac:dyDescent="0.25">
      <c r="B25" t="str">
        <f>IF(AND(Data!$B104&lt;&gt;"",Data!$D104&lt;&gt;""),Data!B104,"")</f>
        <v/>
      </c>
      <c r="C25" t="str">
        <f>IF(Data!$D104&lt;&gt;"",Data!C104,"")</f>
        <v/>
      </c>
      <c r="D25" t="str">
        <f>IF(Data!$D104&lt;&gt;"",Data!D104&amp;" "&amp;Data!E104,"")</f>
        <v/>
      </c>
      <c r="E25" s="8" t="str">
        <f>IF(Data!D104&lt;&gt;"",Data!F104&amp;" - "&amp;Data!G104,"")</f>
        <v/>
      </c>
    </row>
    <row r="26" spans="2:5" x14ac:dyDescent="0.25">
      <c r="B26" t="str">
        <f>IF(AND(Data!$B105&lt;&gt;"",Data!$D105&lt;&gt;""),Data!B105,"")</f>
        <v/>
      </c>
      <c r="C26" t="str">
        <f>IF(Data!$D105&lt;&gt;"",Data!C105,"")</f>
        <v/>
      </c>
      <c r="D26" t="str">
        <f>IF(Data!$D105&lt;&gt;"",Data!D105&amp;" "&amp;Data!E105,"")</f>
        <v/>
      </c>
      <c r="E26" s="8" t="str">
        <f>IF(Data!D105&lt;&gt;"",Data!F105&amp;" - "&amp;Data!G105,"")</f>
        <v/>
      </c>
    </row>
    <row r="27" spans="2:5" x14ac:dyDescent="0.25">
      <c r="B27" t="str">
        <f>IF(AND(Data!$B83&lt;&gt;"",Data!$D83&lt;&gt;""),Data!B83,"")</f>
        <v/>
      </c>
      <c r="C27" t="str">
        <f>IF(Data!$D83&lt;&gt;"",Data!C83,"")</f>
        <v/>
      </c>
      <c r="D27" t="str">
        <f>IF(Data!$D83&lt;&gt;"",Data!D83&amp;" "&amp;Data!E83,"")</f>
        <v/>
      </c>
      <c r="E27" s="8" t="str">
        <f>IF(Data!D83&lt;&gt;"",Data!F83&amp;" - "&amp;Data!G83,"")</f>
        <v/>
      </c>
    </row>
    <row r="28" spans="2:5" x14ac:dyDescent="0.25">
      <c r="B28" t="str">
        <f>IF(AND(Data!$B84&lt;&gt;"",Data!$D84&lt;&gt;""),Data!B84,"")</f>
        <v/>
      </c>
      <c r="C28" t="str">
        <f>IF(Data!$D84&lt;&gt;"",Data!C84,"")</f>
        <v/>
      </c>
      <c r="D28" t="str">
        <f>IF(Data!$D84&lt;&gt;"",Data!D84&amp;" "&amp;Data!E84,"")</f>
        <v/>
      </c>
      <c r="E28" s="8" t="str">
        <f>IF(Data!D84&lt;&gt;"",Data!F84&amp;" - "&amp;Data!G84,"")</f>
        <v/>
      </c>
    </row>
    <row r="29" spans="2:5" x14ac:dyDescent="0.25">
      <c r="B29" t="str">
        <f>IF(AND(Data!$B85&lt;&gt;"",Data!$D85&lt;&gt;""),Data!B85,"")</f>
        <v/>
      </c>
      <c r="C29" t="str">
        <f>IF(Data!$D85&lt;&gt;"",Data!C85,"")</f>
        <v/>
      </c>
      <c r="D29" t="str">
        <f>IF(Data!$D85&lt;&gt;"",Data!D85&amp;" "&amp;Data!E85,"")</f>
        <v/>
      </c>
      <c r="E29" s="8" t="str">
        <f>IF(Data!D85&lt;&gt;"",Data!F85&amp;" - "&amp;Data!G85,"")</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J61"/>
  <sheetViews>
    <sheetView topLeftCell="A19" workbookViewId="0">
      <selection activeCell="D28" sqref="D28"/>
    </sheetView>
  </sheetViews>
  <sheetFormatPr defaultRowHeight="15" x14ac:dyDescent="0.25"/>
  <cols>
    <col min="1" max="1" width="12.5703125" customWidth="1"/>
    <col min="2" max="2" width="25.28515625" customWidth="1"/>
    <col min="3" max="3" width="18.42578125" customWidth="1"/>
    <col min="4" max="4" width="25.42578125" customWidth="1"/>
    <col min="5" max="5" width="7.42578125" customWidth="1"/>
    <col min="6" max="6" width="7.7109375" customWidth="1"/>
    <col min="7" max="7" width="7.28515625" customWidth="1"/>
    <col min="8" max="8" width="7.7109375" customWidth="1"/>
    <col min="9" max="9" width="65.42578125" customWidth="1"/>
    <col min="13" max="13" width="27.42578125" customWidth="1"/>
  </cols>
  <sheetData>
    <row r="2" spans="2:10" x14ac:dyDescent="0.25">
      <c r="B2" s="2" t="s">
        <v>52</v>
      </c>
    </row>
    <row r="4" spans="2:10" x14ac:dyDescent="0.25">
      <c r="B4" s="5"/>
      <c r="C4" s="5" t="s">
        <v>53</v>
      </c>
      <c r="D4" s="5" t="s">
        <v>54</v>
      </c>
      <c r="E4" s="5" t="s">
        <v>124</v>
      </c>
      <c r="F4" s="5" t="s">
        <v>111</v>
      </c>
      <c r="G4" s="5" t="s">
        <v>112</v>
      </c>
      <c r="H4" s="5" t="s">
        <v>113</v>
      </c>
      <c r="I4" s="5" t="s">
        <v>55</v>
      </c>
      <c r="J4" s="5" t="s">
        <v>67</v>
      </c>
    </row>
    <row r="5" spans="2:10" x14ac:dyDescent="0.25">
      <c r="B5" t="str">
        <f>Data!C13</f>
        <v>Date of medical</v>
      </c>
      <c r="C5">
        <f>Data!D13</f>
        <v>0</v>
      </c>
      <c r="D5" t="str">
        <f>TEXT(C5,"YYYYMMDD")</f>
        <v>19000100</v>
      </c>
      <c r="I5" t="s">
        <v>56</v>
      </c>
    </row>
    <row r="6" spans="2:10" x14ac:dyDescent="0.25">
      <c r="B6" t="s">
        <v>57</v>
      </c>
      <c r="D6" t="str">
        <f>Data!D4&amp;Data!D5&amp;Data!D6&amp;Calculations!D5</f>
        <v>19000100</v>
      </c>
      <c r="I6" t="s">
        <v>56</v>
      </c>
    </row>
    <row r="7" spans="2:10" x14ac:dyDescent="0.25">
      <c r="B7" t="s">
        <v>65</v>
      </c>
      <c r="C7">
        <f>Data!D37</f>
        <v>0</v>
      </c>
      <c r="F7" t="str">
        <f>IF(C7&gt;H7,"high",IF(C7&lt;=G7,"normal","high normal"))</f>
        <v>normal</v>
      </c>
      <c r="G7">
        <v>130</v>
      </c>
      <c r="H7">
        <v>140</v>
      </c>
    </row>
    <row r="8" spans="2:10" x14ac:dyDescent="0.25">
      <c r="B8" t="s">
        <v>66</v>
      </c>
      <c r="C8">
        <f>Data!D38</f>
        <v>0</v>
      </c>
      <c r="F8" t="str">
        <f>IF(C8&gt;H8,"high",IF(C8&lt;=G8,"normal","high normal"))</f>
        <v>normal</v>
      </c>
      <c r="G8">
        <v>85</v>
      </c>
      <c r="H8">
        <v>90</v>
      </c>
    </row>
    <row r="9" spans="2:10" x14ac:dyDescent="0.25">
      <c r="B9" t="s">
        <v>64</v>
      </c>
      <c r="D9" t="str">
        <f>C7&amp;"/"&amp;C8</f>
        <v>0/0</v>
      </c>
      <c r="F9" t="str">
        <f>IF(OR(F7="high",F8="high"),"high",IF(OR(F7="high normal",F8="high normal"),"high normal","normal"))</f>
        <v>normal</v>
      </c>
    </row>
    <row r="10" spans="2:10" x14ac:dyDescent="0.25">
      <c r="B10" t="s">
        <v>63</v>
      </c>
      <c r="D10" t="str">
        <f>IF(OR(C7&gt;140,C8&gt;90),"elevated",IF(AND(C7&lt;=120,C8&lt;80),"optimal",IF(AND(C7&lt;130,C8&lt;85),"normal","high normal")))</f>
        <v>optimal</v>
      </c>
      <c r="I10" t="s">
        <v>68</v>
      </c>
      <c r="J10" s="11" t="s">
        <v>69</v>
      </c>
    </row>
    <row r="11" spans="2:10" x14ac:dyDescent="0.25">
      <c r="B11" t="s">
        <v>185</v>
      </c>
      <c r="D11" t="str">
        <f>F11</f>
        <v/>
      </c>
      <c r="E11" t="str">
        <f>IF(Data!D49&lt;&gt;"","yes","no")</f>
        <v>no</v>
      </c>
      <c r="F11" t="str">
        <f>IF(G11="done",IF(AND(Data!D49="nil",Data!D50="nil",Data!D51="nil",Data!D52="nil",Data!D53="nil",Data!D54="nil",Data!#REF!="nil"),"normal","abnormal"),"")</f>
        <v/>
      </c>
      <c r="G11" t="str">
        <f>IF(AND(COUNTA(Data!D49:D57)&gt;0,(COUNTA(Data!D49:D57)&lt;&gt;COUNTIF(Data!D49:D57,"not done"))),"done","not done")</f>
        <v>not done</v>
      </c>
      <c r="I11">
        <f>Data!F49</f>
        <v>0</v>
      </c>
    </row>
    <row r="12" spans="2:10" x14ac:dyDescent="0.25">
      <c r="B12" t="s">
        <v>86</v>
      </c>
      <c r="C12" t="e">
        <f>ROUND(10000*Data!D36/(Data!D35*Data!D35),1)</f>
        <v>#DIV/0!</v>
      </c>
      <c r="D12" t="e">
        <f>C12&amp;" m/kg2"</f>
        <v>#DIV/0!</v>
      </c>
      <c r="F12" t="e">
        <f>IF(C12&gt;=H12,"high",IF(C12&gt;G12,"a little high",IF(C12&gt;18,"normal","low")))</f>
        <v>#DIV/0!</v>
      </c>
      <c r="G12">
        <v>25</v>
      </c>
      <c r="H12">
        <v>35</v>
      </c>
    </row>
    <row r="13" spans="2:10" x14ac:dyDescent="0.25">
      <c r="B13" t="s">
        <v>184</v>
      </c>
      <c r="C13">
        <f>Data!D40</f>
        <v>0</v>
      </c>
      <c r="D13" t="str">
        <f>F13</f>
        <v>low</v>
      </c>
      <c r="F13" t="str">
        <f>IF(C13&lt;Data!F40,"low","normal")</f>
        <v>low</v>
      </c>
    </row>
    <row r="14" spans="2:10" x14ac:dyDescent="0.25">
      <c r="B14" t="s">
        <v>96</v>
      </c>
      <c r="D14" s="17">
        <f>Data!D8</f>
        <v>0</v>
      </c>
    </row>
    <row r="15" spans="2:10" x14ac:dyDescent="0.25">
      <c r="B15" t="s">
        <v>108</v>
      </c>
      <c r="F15" t="str">
        <f>IF(OR(F16="high",F19="high",F18="high",F17="low"),"sub-optimal","normal")</f>
        <v>sub-optimal</v>
      </c>
    </row>
    <row r="16" spans="2:10" x14ac:dyDescent="0.25">
      <c r="B16" t="s">
        <v>41</v>
      </c>
      <c r="C16" s="1">
        <f>Data!D61</f>
        <v>0</v>
      </c>
      <c r="D16" t="str">
        <f>C16&amp;Data!E61</f>
        <v>0 mmol/L</v>
      </c>
      <c r="F16" t="str">
        <f>IF(C16&gt;H16,"high",IF(C16&lt;=G16,"normal","borderline high"))</f>
        <v>normal</v>
      </c>
      <c r="G16">
        <v>5.18</v>
      </c>
      <c r="H16">
        <v>6.18</v>
      </c>
    </row>
    <row r="17" spans="1:10" x14ac:dyDescent="0.25">
      <c r="B17" t="s">
        <v>42</v>
      </c>
      <c r="C17" s="1">
        <f>Data!D62</f>
        <v>0</v>
      </c>
      <c r="D17" t="str">
        <f>C17&amp;Data!E62</f>
        <v>0 mmol/L</v>
      </c>
      <c r="F17" t="str">
        <f>IF(C17&gt;H17,"normal",IF(C17&lt;=G17,"low","normal"))</f>
        <v>low</v>
      </c>
      <c r="G17">
        <v>1</v>
      </c>
      <c r="H17">
        <v>1.5</v>
      </c>
      <c r="J17" t="s">
        <v>194</v>
      </c>
    </row>
    <row r="18" spans="1:10" x14ac:dyDescent="0.25">
      <c r="B18" t="s">
        <v>44</v>
      </c>
      <c r="C18" s="1">
        <f>Data!D63</f>
        <v>0</v>
      </c>
      <c r="D18" t="str">
        <f>C18&amp;Data!E63</f>
        <v>0 mmol/L</v>
      </c>
      <c r="F18" t="str">
        <f>IF(C18&gt;H18,"high",IF(C18&lt;=G18,"normal","normal"))</f>
        <v>normal</v>
      </c>
      <c r="G18">
        <v>1.7</v>
      </c>
      <c r="H18">
        <v>2.2999999999999998</v>
      </c>
    </row>
    <row r="19" spans="1:10" x14ac:dyDescent="0.25">
      <c r="B19" t="s">
        <v>43</v>
      </c>
      <c r="C19" s="1">
        <f>Data!D64</f>
        <v>0</v>
      </c>
      <c r="D19" t="str">
        <f>C19&amp;Data!E64</f>
        <v>0 mmol/L</v>
      </c>
      <c r="F19" t="str">
        <f>IF(C19&gt;H19,"high",IF(C19&lt;=G19,"normal","borderline high"))</f>
        <v>normal</v>
      </c>
      <c r="G19">
        <v>3.4</v>
      </c>
      <c r="H19">
        <v>4.9000000000000004</v>
      </c>
    </row>
    <row r="20" spans="1:10" x14ac:dyDescent="0.25">
      <c r="B20" t="s">
        <v>324</v>
      </c>
      <c r="C20" s="1">
        <f>C16-C17</f>
        <v>0</v>
      </c>
      <c r="D20" t="str">
        <f>C20&amp;Data!E64</f>
        <v>0 mmol/L</v>
      </c>
    </row>
    <row r="21" spans="1:10" x14ac:dyDescent="0.25">
      <c r="B21" t="s">
        <v>323</v>
      </c>
      <c r="C21" s="1" t="e">
        <f>C16/C17</f>
        <v>#DIV/0!</v>
      </c>
      <c r="D21" t="e">
        <f>ROUND(C21,1)</f>
        <v>#DIV/0!</v>
      </c>
    </row>
    <row r="22" spans="1:10" x14ac:dyDescent="0.25">
      <c r="C22" s="1"/>
    </row>
    <row r="23" spans="1:10" x14ac:dyDescent="0.25">
      <c r="A23" t="s">
        <v>79</v>
      </c>
      <c r="B23" t="s">
        <v>274</v>
      </c>
      <c r="C23">
        <f>Data!D20</f>
        <v>0</v>
      </c>
      <c r="D23" t="str">
        <f>IF(OR(C23=0,C23="no",C23="nil",C23="nad",C23=""),"no","yes")</f>
        <v>no</v>
      </c>
      <c r="F23" t="str">
        <f>D23</f>
        <v>no</v>
      </c>
    </row>
    <row r="24" spans="1:10" x14ac:dyDescent="0.25">
      <c r="B24" t="s">
        <v>269</v>
      </c>
      <c r="C24">
        <f>Fasting_Glucose_value</f>
        <v>0</v>
      </c>
      <c r="D24" t="str">
        <f>IF(Fasting_Glucose_value&lt;&gt;"",Fasting_Glucose_value&amp;" "&amp;Data!E69,"")</f>
        <v/>
      </c>
      <c r="F24" t="str">
        <f>IF($D$24&lt;&gt;"",IF(AND($C$24&gt;=$G$24,$C$24&lt;=$H$24),"normal",IF($C$24&lt;$G$24,"low","high")),"not done")</f>
        <v>not done</v>
      </c>
      <c r="G24">
        <f>Data!F69</f>
        <v>70</v>
      </c>
      <c r="H24">
        <f>Data!G69</f>
        <v>100</v>
      </c>
    </row>
    <row r="25" spans="1:10" x14ac:dyDescent="0.25">
      <c r="B25" t="s">
        <v>120</v>
      </c>
      <c r="C25">
        <f>HBA1c_value</f>
        <v>0</v>
      </c>
      <c r="D25" t="str">
        <f>IF(HBA1c_value&lt;&gt;"", HBA1c_value&amp;" "&amp;Data!$E$68, "")</f>
        <v/>
      </c>
      <c r="F25" t="str">
        <f>IF($D$25&lt;&gt;"",IF($C$25&gt;=$H$25,"high",IF($C$25&lt;$G$25,"normal","borderline")),"not done")</f>
        <v>not done</v>
      </c>
      <c r="G25">
        <v>5.7</v>
      </c>
      <c r="H25">
        <v>6.5</v>
      </c>
    </row>
    <row r="26" spans="1:10" x14ac:dyDescent="0.25">
      <c r="B26" t="s">
        <v>121</v>
      </c>
      <c r="C26">
        <f>HBA1c_value</f>
        <v>0</v>
      </c>
      <c r="D26" t="str">
        <f>IF(HBA1c_value&lt;&gt;"", HBA1c_value&amp;" "&amp;Data!$E$68, "")</f>
        <v/>
      </c>
      <c r="F26" t="str">
        <f>IF($D$26&lt;&gt;"",IF($C$26&gt;$G$26,"high","normal"),"not done")</f>
        <v>not done</v>
      </c>
      <c r="G26">
        <v>6.5</v>
      </c>
    </row>
    <row r="28" spans="1:10" ht="15.75" x14ac:dyDescent="0.25">
      <c r="A28" t="s">
        <v>186</v>
      </c>
      <c r="B28" t="s">
        <v>186</v>
      </c>
      <c r="C28" t="e">
        <f>'GFR calculation'!C26</f>
        <v>#DIV/0!</v>
      </c>
      <c r="D28" t="str">
        <f>IF(Creatinine_value&lt;&gt;"",IF(C28&lt;=90,ROUND(C28,0),"&gt;90"),"")</f>
        <v/>
      </c>
      <c r="F28" t="str">
        <f>IF(Creatinine_value&lt;&gt;"",IF(D28&gt;=H28,"normal","low"),"")</f>
        <v/>
      </c>
      <c r="H28">
        <v>60</v>
      </c>
      <c r="I28" s="62" t="s">
        <v>562</v>
      </c>
    </row>
    <row r="29" spans="1:10" x14ac:dyDescent="0.25">
      <c r="A29" t="s">
        <v>169</v>
      </c>
      <c r="B29" s="15" t="s">
        <v>139</v>
      </c>
      <c r="C29">
        <f>Data!D76</f>
        <v>0</v>
      </c>
      <c r="F29" t="str">
        <f>IF(C29=0,"not done",IF(C29&lt;=H29,"normal","high"))</f>
        <v>not done</v>
      </c>
      <c r="H29">
        <f>Data!G85</f>
        <v>35</v>
      </c>
    </row>
    <row r="30" spans="1:10" x14ac:dyDescent="0.25">
      <c r="B30" s="15" t="s">
        <v>140</v>
      </c>
      <c r="C30">
        <f>Data!D77</f>
        <v>0</v>
      </c>
      <c r="F30" t="str">
        <f>IF(C30=0,"not done",IF(C30&lt;=H30,"normal","high"))</f>
        <v>not done</v>
      </c>
      <c r="H30">
        <f>Data!G86</f>
        <v>45</v>
      </c>
    </row>
    <row r="31" spans="1:10" x14ac:dyDescent="0.25">
      <c r="B31" s="15" t="s">
        <v>141</v>
      </c>
      <c r="C31">
        <f>Data!D78</f>
        <v>0</v>
      </c>
      <c r="F31" t="str">
        <f t="shared" ref="F31:F33" si="0">IF(C31=0,"not done",IF(C31&lt;=H31,"normal","high"))</f>
        <v>not done</v>
      </c>
      <c r="H31">
        <f>Data!G87</f>
        <v>120</v>
      </c>
    </row>
    <row r="32" spans="1:10" x14ac:dyDescent="0.25">
      <c r="B32" s="15" t="s">
        <v>142</v>
      </c>
      <c r="C32">
        <f>Data!D79</f>
        <v>0</v>
      </c>
      <c r="F32" t="str">
        <f t="shared" si="0"/>
        <v>not done</v>
      </c>
      <c r="H32">
        <f>Data!G88</f>
        <v>1.2</v>
      </c>
    </row>
    <row r="33" spans="1:8" x14ac:dyDescent="0.25">
      <c r="B33" s="15" t="s">
        <v>143</v>
      </c>
      <c r="C33">
        <f>Data!D89</f>
        <v>0</v>
      </c>
      <c r="F33" t="str">
        <f t="shared" si="0"/>
        <v>not done</v>
      </c>
      <c r="H33">
        <f>Data!G89</f>
        <v>39</v>
      </c>
    </row>
    <row r="34" spans="1:8" x14ac:dyDescent="0.25">
      <c r="B34" s="15" t="s">
        <v>212</v>
      </c>
      <c r="F34" t="str">
        <f>IF(COUNTIF(F29:F33,"high")&gt;0,"abnormal","normal")</f>
        <v>normal</v>
      </c>
    </row>
    <row r="35" spans="1:8" x14ac:dyDescent="0.25">
      <c r="B35" s="15" t="s">
        <v>218</v>
      </c>
      <c r="F35" t="str">
        <f>IF(OR(Data!D29="0",Data!history_alcohol=DropDownLists!B26),"no","yes")</f>
        <v>yes</v>
      </c>
    </row>
    <row r="36" spans="1:8" x14ac:dyDescent="0.25">
      <c r="B36" s="15"/>
    </row>
    <row r="37" spans="1:8" x14ac:dyDescent="0.25">
      <c r="A37" t="s">
        <v>171</v>
      </c>
      <c r="B37" s="15" t="s">
        <v>126</v>
      </c>
      <c r="C37">
        <f>WBC_value</f>
        <v>0</v>
      </c>
      <c r="D37" t="str">
        <f>IF(AND(C37&lt;&gt;0,C37&lt;&gt;""),C37&amp;" "&amp;wbc_units,"")</f>
        <v/>
      </c>
      <c r="F37" t="str">
        <f>IF(D37&lt;&gt;"",IF(AND(C37&gt;=G37,C37&lt;=H37),"normal",IF(C37&lt;G37,"low","high")),"not done")</f>
        <v>not done</v>
      </c>
      <c r="G37">
        <f>WBC_lower_bound</f>
        <v>4</v>
      </c>
      <c r="H37">
        <f>wbc_upper_bound</f>
        <v>11</v>
      </c>
    </row>
    <row r="38" spans="1:8" x14ac:dyDescent="0.25">
      <c r="B38" s="15" t="s">
        <v>221</v>
      </c>
      <c r="C38">
        <f>Hb_value</f>
        <v>0</v>
      </c>
      <c r="D38" t="str">
        <f>IF(AND(C38&lt;&gt;0,C38&lt;&gt;""),C38&amp;" "&amp;Hb_units,"")</f>
        <v/>
      </c>
      <c r="F38" t="str">
        <f>IF(D38&lt;&gt;"",IF(AND(C38&gt;=G38,C38&lt;=H38),"normal",IF(C38&lt;G38,"low","high")),"not done")</f>
        <v>not done</v>
      </c>
      <c r="G38">
        <f>Hb_lower_bound</f>
        <v>13.5</v>
      </c>
      <c r="H38">
        <f>Hb_upper_bound</f>
        <v>17.5</v>
      </c>
    </row>
    <row r="39" spans="1:8" x14ac:dyDescent="0.25">
      <c r="B39" s="15" t="s">
        <v>220</v>
      </c>
      <c r="C39">
        <f>platelets_value</f>
        <v>0</v>
      </c>
      <c r="D39" t="str">
        <f>IF(AND(C39&lt;&gt;0,C39&lt;&gt;""),C39&amp;" "&amp;plt_units,"")</f>
        <v/>
      </c>
      <c r="F39" t="str">
        <f>IF(D39&lt;&gt;"",IF(AND(C39&gt;=G39,C39&lt;=H39),"normal",IF(C39&lt;G39,"low","high")),"not done")</f>
        <v>not done</v>
      </c>
      <c r="G39">
        <f>plt_lower_bound</f>
        <v>150</v>
      </c>
      <c r="H39">
        <f>plt_upper_bound</f>
        <v>450</v>
      </c>
    </row>
    <row r="40" spans="1:8" x14ac:dyDescent="0.25">
      <c r="B40" s="15" t="s">
        <v>219</v>
      </c>
      <c r="F40" t="str">
        <f>IF(AND(F37="normal",F38="normal",F39="normal"),"Normal","Some values outside normal range")</f>
        <v>Some values outside normal range</v>
      </c>
    </row>
    <row r="41" spans="1:8" x14ac:dyDescent="0.25">
      <c r="B41" s="15"/>
    </row>
    <row r="42" spans="1:8" x14ac:dyDescent="0.25">
      <c r="B42" s="15" t="s">
        <v>235</v>
      </c>
      <c r="C42">
        <f>psa_value</f>
        <v>0</v>
      </c>
      <c r="F42" t="str">
        <f>IF(C42=0,"not done",IF(C42&lt;H42,"normal","high"))</f>
        <v>not done</v>
      </c>
      <c r="G42">
        <v>0</v>
      </c>
      <c r="H42">
        <f>PSA_upper_limit</f>
        <v>4</v>
      </c>
    </row>
    <row r="43" spans="1:8" x14ac:dyDescent="0.25">
      <c r="B43" s="15" t="s">
        <v>252</v>
      </c>
      <c r="C43">
        <f>FOB_result</f>
        <v>0</v>
      </c>
      <c r="F43" t="str">
        <f>IF(C43=0,"not done",C43)</f>
        <v>not done</v>
      </c>
    </row>
    <row r="44" spans="1:8" x14ac:dyDescent="0.25">
      <c r="B44" s="15"/>
    </row>
    <row r="45" spans="1:8" x14ac:dyDescent="0.25">
      <c r="A45" t="str">
        <f>Thyroid_label</f>
        <v>Thyroid</v>
      </c>
      <c r="B45" s="15" t="str">
        <f>Data!C127</f>
        <v>Thyroid Stimulating Hormone (TSH)</v>
      </c>
      <c r="C45">
        <f>TSH_value</f>
        <v>0</v>
      </c>
      <c r="D45" t="str">
        <f>IF(AND(TSH_value&lt;&gt;"",TSH_value&lt;&gt;0),TSH_value&amp;" "&amp;TSH_units,"")</f>
        <v/>
      </c>
      <c r="F45" t="str">
        <f>IF(D45&lt;&gt;"",IF(AND(C45&gt;=G45,C45&lt;=H45),"normal",IF(C45&lt;G45,"low","high")),"not done")</f>
        <v>not done</v>
      </c>
      <c r="G45">
        <f>Data!F127</f>
        <v>0.27</v>
      </c>
      <c r="H45">
        <f>Data!G127</f>
        <v>4.2</v>
      </c>
    </row>
    <row r="46" spans="1:8" x14ac:dyDescent="0.25">
      <c r="B46" s="15" t="s">
        <v>459</v>
      </c>
      <c r="C46">
        <f>T3_value</f>
        <v>0</v>
      </c>
      <c r="D46" t="str">
        <f>IF(AND(T3_value&lt;&gt;"",T3_value&lt;&gt;0),T3_value&amp;" "&amp;T3_units,"")</f>
        <v/>
      </c>
      <c r="F46" t="str">
        <f>IF(D46&lt;&gt;"",IF(AND(C46&gt;=G46,C46&lt;=H46),"normal",IF(C46&lt;G46,"low","high")),"not done")</f>
        <v>not done</v>
      </c>
      <c r="G46">
        <f>Data!F128</f>
        <v>0</v>
      </c>
      <c r="H46">
        <f>Data!G128</f>
        <v>0</v>
      </c>
    </row>
    <row r="47" spans="1:8" x14ac:dyDescent="0.25">
      <c r="B47" s="15" t="str">
        <f>Data!C129</f>
        <v>Free T4 (Free Thyroxine)</v>
      </c>
      <c r="C47">
        <f>T4_value</f>
        <v>0</v>
      </c>
      <c r="D47" t="str">
        <f>IF(AND(T4_value&lt;&gt;"",T4_value&lt;&gt;0),T4_value&amp;" "&amp;T4_units,"")</f>
        <v/>
      </c>
      <c r="F47" t="str">
        <f>IF(D47&lt;&gt;"",IF(AND(C47&gt;=G47,C47&lt;=H47),"normal",IF(C47&lt;G47,"low","high")),"not done")</f>
        <v>not done</v>
      </c>
      <c r="G47">
        <f>Data!F129</f>
        <v>12</v>
      </c>
      <c r="H47">
        <f>Data!G129</f>
        <v>22</v>
      </c>
    </row>
    <row r="48" spans="1:8" x14ac:dyDescent="0.25">
      <c r="B48" s="15" t="s">
        <v>440</v>
      </c>
      <c r="C48">
        <f>Total_T4_value</f>
        <v>0</v>
      </c>
      <c r="D48" t="str">
        <f>IF(AND(Total_T4_value&lt;&gt;"",Total_T4_value&lt;&gt;0),Total_T4_value&amp;" "&amp;Total_T4_units,"")</f>
        <v/>
      </c>
      <c r="F48" t="str">
        <f>IF(D48&lt;&gt;"",IF(AND(C48&gt;=G48,C48&lt;=H48),"normal",IF(C48&lt;G48,"low","high")),"not done")</f>
        <v>not done</v>
      </c>
      <c r="G48">
        <f>Data!F130</f>
        <v>0.7</v>
      </c>
      <c r="H48">
        <f>Data!G130</f>
        <v>1.48</v>
      </c>
    </row>
    <row r="49" spans="1:8" x14ac:dyDescent="0.25">
      <c r="B49" s="15" t="s">
        <v>267</v>
      </c>
      <c r="F49" t="str">
        <f>IF(TSH_level="not done","not done", IF(AND(ISNUMBER(SEARCH("normal", TSH_level)), OR(T3_level="normal", T3_level="not done"), OR(T4_level="normal", T4_level="not done"), OR(Total_T4_level="normal", Total_T4_level="not done")), "normal", "abnormal"))</f>
        <v>not done</v>
      </c>
    </row>
    <row r="50" spans="1:8" x14ac:dyDescent="0.25">
      <c r="B50" s="15"/>
    </row>
    <row r="51" spans="1:8" x14ac:dyDescent="0.25">
      <c r="A51" t="s">
        <v>523</v>
      </c>
      <c r="B51" s="15" t="s">
        <v>524</v>
      </c>
      <c r="C51">
        <f>testosterone_value</f>
        <v>0</v>
      </c>
      <c r="D51" t="str">
        <f>IF(AND(C51&lt;&gt;0,C51&lt;&gt;""),C51&amp;" "&amp;testosterone_units,"")</f>
        <v/>
      </c>
      <c r="F51" t="str">
        <f>IF(D51&lt;&gt;"",IF(AND(C51&gt;=G51,C51&lt;=H51),"normal",IF(C51&lt;G51,"low","high")),"not done")</f>
        <v>not done</v>
      </c>
      <c r="G51">
        <f>testosterone_lower</f>
        <v>0</v>
      </c>
      <c r="H51">
        <f>testosterone_upper</f>
        <v>0</v>
      </c>
    </row>
    <row r="53" spans="1:8" x14ac:dyDescent="0.25">
      <c r="A53" t="s">
        <v>275</v>
      </c>
      <c r="B53" t="s">
        <v>425</v>
      </c>
      <c r="C53" s="1">
        <f>B12_value</f>
        <v>0</v>
      </c>
      <c r="D53" t="str">
        <f>IF(AND(C53&lt;&gt;"",C53&lt;&gt;0),C53&amp;" "&amp;Data!E92,"")</f>
        <v/>
      </c>
      <c r="F53" t="str">
        <f>IF(D53&lt;&gt;"",IF(AND(C53&gt;=G53,C53&lt;=H53),"normal",IF(C53&lt;G53,"low","high")),"not done")</f>
        <v>not done</v>
      </c>
      <c r="G53">
        <f>Data!F92</f>
        <v>0</v>
      </c>
      <c r="H53">
        <f>Data!G92</f>
        <v>0</v>
      </c>
    </row>
    <row r="54" spans="1:8" x14ac:dyDescent="0.25">
      <c r="A54" t="s">
        <v>275</v>
      </c>
      <c r="B54" t="s">
        <v>426</v>
      </c>
      <c r="C54" s="1">
        <f>folic_acid_value</f>
        <v>0</v>
      </c>
      <c r="D54" t="str">
        <f>IF(AND(C54&lt;&gt;"",C54&lt;&gt;0),C54&amp;" "&amp;Data!E93,"")</f>
        <v/>
      </c>
      <c r="F54" t="str">
        <f t="shared" ref="F54:F61" si="1">IF(D54&lt;&gt;"",IF(AND(C54&gt;=G54,C54&lt;=H54),"normal",IF(C54&lt;G54,"low","high")),"not done")</f>
        <v>not done</v>
      </c>
      <c r="G54">
        <f>Data!F93</f>
        <v>0</v>
      </c>
      <c r="H54">
        <f>Data!G93</f>
        <v>0</v>
      </c>
    </row>
    <row r="55" spans="1:8" x14ac:dyDescent="0.25">
      <c r="A55" t="s">
        <v>275</v>
      </c>
      <c r="B55" t="s">
        <v>427</v>
      </c>
      <c r="C55" s="1">
        <f>Vitamin_D_value</f>
        <v>0</v>
      </c>
      <c r="D55" t="str">
        <f>IF(AND(C55&lt;&gt;0,C55&lt;&gt;""),C55&amp;" "&amp;Vitamin_D_units,"")</f>
        <v/>
      </c>
      <c r="F55" t="str">
        <f>IF(D55&lt;&gt;"",IF(AND(C55&gt;=G55,C55&lt;=H55),"normal",IF(C55&lt;G55,"low","high")),"not done")</f>
        <v>not done</v>
      </c>
      <c r="G55">
        <f>Vitamin_D_lower</f>
        <v>30</v>
      </c>
      <c r="H55">
        <f>Vitamin_D_upper</f>
        <v>100</v>
      </c>
    </row>
    <row r="56" spans="1:8" x14ac:dyDescent="0.25">
      <c r="A56" t="s">
        <v>275</v>
      </c>
      <c r="B56" s="15" t="s">
        <v>428</v>
      </c>
      <c r="C56" s="1">
        <f>Iron_value</f>
        <v>0</v>
      </c>
      <c r="D56" t="str">
        <f>IF(AND(C56&lt;&gt;"",C56&lt;&gt;0),C56&amp;" "&amp;Data!E96,"")</f>
        <v/>
      </c>
      <c r="F56" t="str">
        <f t="shared" si="1"/>
        <v>not done</v>
      </c>
      <c r="G56">
        <f>Data!F96</f>
        <v>45</v>
      </c>
      <c r="H56">
        <f>Data!G96</f>
        <v>158</v>
      </c>
    </row>
    <row r="57" spans="1:8" x14ac:dyDescent="0.25">
      <c r="A57" t="s">
        <v>275</v>
      </c>
      <c r="B57" s="15" t="s">
        <v>457</v>
      </c>
      <c r="C57" s="1">
        <f>Zinc_value</f>
        <v>0</v>
      </c>
      <c r="D57" t="str">
        <f>IF(AND(C57&lt;&gt;"",C57&lt;&gt;0),C57&amp;" "&amp;Data!E94,"")</f>
        <v/>
      </c>
      <c r="F57" t="str">
        <f t="shared" si="1"/>
        <v>not done</v>
      </c>
      <c r="G57">
        <f>Data!F94</f>
        <v>0</v>
      </c>
      <c r="H57">
        <f>Data!G94</f>
        <v>0</v>
      </c>
    </row>
    <row r="58" spans="1:8" x14ac:dyDescent="0.25">
      <c r="A58" t="s">
        <v>275</v>
      </c>
      <c r="B58" s="15" t="s">
        <v>458</v>
      </c>
      <c r="C58" s="1">
        <f>Magnesium_value</f>
        <v>0</v>
      </c>
      <c r="D58" t="str">
        <f>IF(AND(C58&lt;&gt;"",C58&lt;&gt;0),C58&amp;" "&amp;Data!E95,"")</f>
        <v/>
      </c>
      <c r="F58" t="str">
        <f t="shared" si="1"/>
        <v>not done</v>
      </c>
      <c r="G58">
        <f>Data!F95</f>
        <v>0</v>
      </c>
      <c r="H58">
        <f>Data!G95</f>
        <v>0</v>
      </c>
    </row>
    <row r="59" spans="1:8" x14ac:dyDescent="0.25">
      <c r="A59" t="s">
        <v>275</v>
      </c>
      <c r="B59" t="s">
        <v>430</v>
      </c>
      <c r="C59" s="1">
        <f>Ferritin_value</f>
        <v>0</v>
      </c>
      <c r="D59" t="str">
        <f>IF(AND(C59&lt;&gt;"",C59&lt;&gt;0),C59&amp;" "&amp;Data!E97,"")</f>
        <v/>
      </c>
      <c r="F59" t="str">
        <f t="shared" si="1"/>
        <v>not done</v>
      </c>
      <c r="G59">
        <f>Data!F97</f>
        <v>30</v>
      </c>
      <c r="H59">
        <f>Data!G97</f>
        <v>400</v>
      </c>
    </row>
    <row r="60" spans="1:8" x14ac:dyDescent="0.25">
      <c r="A60" t="s">
        <v>275</v>
      </c>
      <c r="B60" t="s">
        <v>432</v>
      </c>
      <c r="C60" s="1">
        <f>TIBC_value</f>
        <v>0</v>
      </c>
      <c r="D60" t="str">
        <f>IF(AND(C60&lt;&gt;"",C60&lt;&gt;0),C60&amp;" "&amp;Data!E98,"")</f>
        <v/>
      </c>
      <c r="F60" t="str">
        <f t="shared" si="1"/>
        <v>not done</v>
      </c>
      <c r="G60">
        <f>Data!F98</f>
        <v>250</v>
      </c>
      <c r="H60">
        <f>Data!G98</f>
        <v>450</v>
      </c>
    </row>
    <row r="61" spans="1:8" x14ac:dyDescent="0.25">
      <c r="A61" t="s">
        <v>275</v>
      </c>
      <c r="B61" t="s">
        <v>434</v>
      </c>
      <c r="C61" s="1">
        <f>Vitamin_D_value</f>
        <v>0</v>
      </c>
      <c r="D61" t="str">
        <f>IF(AND(C61&lt;&gt;"",C61&lt;&gt;0),C61&amp;" "&amp;Data!E100,"")</f>
        <v/>
      </c>
      <c r="F61" t="str">
        <f t="shared" si="1"/>
        <v>not done</v>
      </c>
      <c r="G61">
        <f>Data!F100</f>
        <v>30</v>
      </c>
      <c r="H61">
        <f>Data!G100</f>
        <v>100</v>
      </c>
    </row>
  </sheetData>
  <hyperlinks>
    <hyperlink ref="J10" r:id="rId1"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12625-0EF1-4930-955A-934F26101831}">
  <dimension ref="B2:C28"/>
  <sheetViews>
    <sheetView topLeftCell="A11" workbookViewId="0">
      <selection activeCell="H5" sqref="H5"/>
    </sheetView>
  </sheetViews>
  <sheetFormatPr defaultRowHeight="15" x14ac:dyDescent="0.25"/>
  <cols>
    <col min="2" max="2" width="18.42578125" customWidth="1"/>
  </cols>
  <sheetData>
    <row r="2" spans="2:2" ht="35.25" x14ac:dyDescent="0.25">
      <c r="B2" s="64" t="s">
        <v>547</v>
      </c>
    </row>
    <row r="3" spans="2:2" ht="15.75" x14ac:dyDescent="0.25">
      <c r="B3" s="68" t="s">
        <v>543</v>
      </c>
    </row>
    <row r="4" spans="2:2" x14ac:dyDescent="0.25">
      <c r="B4" s="63"/>
    </row>
    <row r="5" spans="2:2" ht="15.75" x14ac:dyDescent="0.25">
      <c r="B5" s="65" t="s">
        <v>548</v>
      </c>
    </row>
    <row r="6" spans="2:2" x14ac:dyDescent="0.25">
      <c r="B6" s="63"/>
    </row>
    <row r="7" spans="2:2" ht="15.75" x14ac:dyDescent="0.25">
      <c r="B7" s="65" t="s">
        <v>553</v>
      </c>
    </row>
    <row r="8" spans="2:2" x14ac:dyDescent="0.25">
      <c r="B8" s="63"/>
    </row>
    <row r="9" spans="2:2" ht="15.75" x14ac:dyDescent="0.25">
      <c r="B9" s="65" t="s">
        <v>549</v>
      </c>
    </row>
    <row r="10" spans="2:2" x14ac:dyDescent="0.25">
      <c r="B10" s="63"/>
    </row>
    <row r="11" spans="2:2" ht="15.75" x14ac:dyDescent="0.25">
      <c r="B11" s="65" t="s">
        <v>550</v>
      </c>
    </row>
    <row r="12" spans="2:2" ht="15.75" x14ac:dyDescent="0.25">
      <c r="B12" s="65" t="s">
        <v>544</v>
      </c>
    </row>
    <row r="13" spans="2:2" ht="15.75" x14ac:dyDescent="0.25">
      <c r="B13" s="65" t="s">
        <v>545</v>
      </c>
    </row>
    <row r="14" spans="2:2" ht="15.75" x14ac:dyDescent="0.25">
      <c r="B14" s="65" t="s">
        <v>551</v>
      </c>
    </row>
    <row r="15" spans="2:2" ht="15.75" x14ac:dyDescent="0.25">
      <c r="B15" s="65" t="s">
        <v>552</v>
      </c>
    </row>
    <row r="16" spans="2:2" ht="15.75" x14ac:dyDescent="0.25">
      <c r="B16" s="65" t="s">
        <v>546</v>
      </c>
    </row>
    <row r="18" spans="2:3" ht="15.75" x14ac:dyDescent="0.25">
      <c r="B18" s="66" t="s">
        <v>554</v>
      </c>
      <c r="C18" t="str">
        <f>First_name&amp;" "&amp;Data!D6</f>
        <v xml:space="preserve"> </v>
      </c>
    </row>
    <row r="19" spans="2:3" ht="15.75" x14ac:dyDescent="0.25">
      <c r="B19" s="66" t="s">
        <v>555</v>
      </c>
      <c r="C19">
        <f>Sex</f>
        <v>0</v>
      </c>
    </row>
    <row r="20" spans="2:3" ht="15.75" x14ac:dyDescent="0.25">
      <c r="B20" s="66" t="s">
        <v>561</v>
      </c>
      <c r="C20">
        <f>IF(Sex="female", 1.012,1)</f>
        <v>1</v>
      </c>
    </row>
    <row r="21" spans="2:3" ht="15.75" x14ac:dyDescent="0.25">
      <c r="B21" s="66" t="s">
        <v>556</v>
      </c>
      <c r="C21">
        <f>IF(Sex="male",0.9, IF(Sex="female",0.7,0))</f>
        <v>0</v>
      </c>
    </row>
    <row r="22" spans="2:3" ht="15.75" x14ac:dyDescent="0.25">
      <c r="B22" s="66" t="s">
        <v>557</v>
      </c>
      <c r="C22">
        <f>IF(Sex="male",-0.302, IF(Sex="female",-0.241,0))</f>
        <v>0</v>
      </c>
    </row>
    <row r="23" spans="2:3" ht="15.75" x14ac:dyDescent="0.25">
      <c r="B23" s="66" t="s">
        <v>558</v>
      </c>
      <c r="C23">
        <f>Creatinine_value</f>
        <v>0</v>
      </c>
    </row>
    <row r="24" spans="2:3" ht="15.75" x14ac:dyDescent="0.25">
      <c r="B24" s="66" t="s">
        <v>559</v>
      </c>
      <c r="C24">
        <f>Age</f>
        <v>0</v>
      </c>
    </row>
    <row r="25" spans="2:3" x14ac:dyDescent="0.25">
      <c r="B25" s="2"/>
    </row>
    <row r="26" spans="2:3" ht="15.75" x14ac:dyDescent="0.25">
      <c r="B26" s="66" t="s">
        <v>560</v>
      </c>
      <c r="C26" s="67" t="e">
        <f>142*MIN(Creatinine_value/C21,1)^C22 * MAX(Creatinine_value/C21, 1)^-1.2 * 0.9938^Age * C21</f>
        <v>#DIV/0!</v>
      </c>
    </row>
    <row r="27" spans="2:3" x14ac:dyDescent="0.25">
      <c r="B27" s="2"/>
    </row>
    <row r="28" spans="2:3" x14ac:dyDescent="0.25">
      <c r="B28" s="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2:F76"/>
  <sheetViews>
    <sheetView workbookViewId="0">
      <selection activeCell="G36" sqref="G36"/>
    </sheetView>
  </sheetViews>
  <sheetFormatPr defaultRowHeight="15" x14ac:dyDescent="0.25"/>
  <cols>
    <col min="2" max="2" width="27.5703125" customWidth="1"/>
    <col min="3" max="4" width="10.28515625" customWidth="1"/>
    <col min="5" max="5" width="9.85546875" customWidth="1"/>
    <col min="6" max="6" width="9" customWidth="1"/>
    <col min="7" max="7" width="9.5703125" customWidth="1"/>
    <col min="8" max="8" width="13.85546875" customWidth="1"/>
  </cols>
  <sheetData>
    <row r="2" spans="2:2" x14ac:dyDescent="0.25">
      <c r="B2" t="s">
        <v>61</v>
      </c>
    </row>
    <row r="4" spans="2:2" x14ac:dyDescent="0.25">
      <c r="B4" t="s">
        <v>62</v>
      </c>
    </row>
    <row r="5" spans="2:2" x14ac:dyDescent="0.25">
      <c r="B5" t="s">
        <v>6</v>
      </c>
    </row>
    <row r="6" spans="2:2" x14ac:dyDescent="0.25">
      <c r="B6" t="s">
        <v>7</v>
      </c>
    </row>
    <row r="7" spans="2:2" x14ac:dyDescent="0.25">
      <c r="B7" t="s">
        <v>9</v>
      </c>
    </row>
    <row r="8" spans="2:2" x14ac:dyDescent="0.25">
      <c r="B8" t="s">
        <v>8</v>
      </c>
    </row>
    <row r="10" spans="2:2" x14ac:dyDescent="0.25">
      <c r="B10" t="s">
        <v>48</v>
      </c>
    </row>
    <row r="11" spans="2:2" x14ac:dyDescent="0.25">
      <c r="B11" t="s">
        <v>10</v>
      </c>
    </row>
    <row r="12" spans="2:2" x14ac:dyDescent="0.25">
      <c r="B12" t="s">
        <v>11</v>
      </c>
    </row>
    <row r="14" spans="2:2" x14ac:dyDescent="0.25">
      <c r="B14" t="s">
        <v>5</v>
      </c>
    </row>
    <row r="15" spans="2:2" x14ac:dyDescent="0.25">
      <c r="B15" t="s">
        <v>13</v>
      </c>
    </row>
    <row r="16" spans="2:2" x14ac:dyDescent="0.25">
      <c r="B16" t="s">
        <v>12</v>
      </c>
    </row>
    <row r="18" spans="2:2" x14ac:dyDescent="0.25">
      <c r="B18" t="s">
        <v>15</v>
      </c>
    </row>
    <row r="19" spans="2:2" x14ac:dyDescent="0.25">
      <c r="B19" t="s">
        <v>24</v>
      </c>
    </row>
    <row r="20" spans="2:2" x14ac:dyDescent="0.25">
      <c r="B20" t="s">
        <v>18</v>
      </c>
    </row>
    <row r="21" spans="2:2" x14ac:dyDescent="0.25">
      <c r="B21" t="s">
        <v>122</v>
      </c>
    </row>
    <row r="22" spans="2:2" x14ac:dyDescent="0.25">
      <c r="B22" t="s">
        <v>19</v>
      </c>
    </row>
    <row r="23" spans="2:2" x14ac:dyDescent="0.25">
      <c r="B23" t="s">
        <v>20</v>
      </c>
    </row>
    <row r="25" spans="2:2" x14ac:dyDescent="0.25">
      <c r="B25" t="s">
        <v>17</v>
      </c>
    </row>
    <row r="26" spans="2:2" x14ac:dyDescent="0.25">
      <c r="B26" t="s">
        <v>25</v>
      </c>
    </row>
    <row r="27" spans="2:2" x14ac:dyDescent="0.25">
      <c r="B27" t="s">
        <v>21</v>
      </c>
    </row>
    <row r="28" spans="2:2" x14ac:dyDescent="0.25">
      <c r="B28" t="s">
        <v>123</v>
      </c>
    </row>
    <row r="30" spans="2:2" x14ac:dyDescent="0.25">
      <c r="B30" t="s">
        <v>16</v>
      </c>
    </row>
    <row r="31" spans="2:2" x14ac:dyDescent="0.25">
      <c r="B31" t="s">
        <v>22</v>
      </c>
    </row>
    <row r="32" spans="2:2" x14ac:dyDescent="0.25">
      <c r="B32" t="s">
        <v>23</v>
      </c>
    </row>
    <row r="33" spans="2:6" x14ac:dyDescent="0.25">
      <c r="B33" t="s">
        <v>258</v>
      </c>
    </row>
    <row r="34" spans="2:6" x14ac:dyDescent="0.25">
      <c r="B34" t="s">
        <v>259</v>
      </c>
    </row>
    <row r="35" spans="2:6" x14ac:dyDescent="0.25">
      <c r="B35" t="s">
        <v>260</v>
      </c>
    </row>
    <row r="37" spans="2:6" x14ac:dyDescent="0.25">
      <c r="B37" t="s">
        <v>59</v>
      </c>
    </row>
    <row r="38" spans="2:6" x14ac:dyDescent="0.25">
      <c r="B38" t="s">
        <v>38</v>
      </c>
    </row>
    <row r="39" spans="2:6" x14ac:dyDescent="0.25">
      <c r="B39" t="s">
        <v>60</v>
      </c>
    </row>
    <row r="41" spans="2:6" x14ac:dyDescent="0.25">
      <c r="B41" t="s">
        <v>188</v>
      </c>
    </row>
    <row r="42" spans="2:6" x14ac:dyDescent="0.25">
      <c r="B42" t="s">
        <v>38</v>
      </c>
    </row>
    <row r="43" spans="2:6" x14ac:dyDescent="0.25">
      <c r="B43" s="26" t="s">
        <v>189</v>
      </c>
    </row>
    <row r="44" spans="2:6" x14ac:dyDescent="0.25">
      <c r="B44" t="s">
        <v>60</v>
      </c>
    </row>
    <row r="46" spans="2:6" x14ac:dyDescent="0.25">
      <c r="B46" t="s">
        <v>58</v>
      </c>
      <c r="F46" s="26"/>
    </row>
    <row r="47" spans="2:6" x14ac:dyDescent="0.25">
      <c r="B47" t="s">
        <v>47</v>
      </c>
    </row>
    <row r="48" spans="2:6" x14ac:dyDescent="0.25">
      <c r="B48" t="s">
        <v>60</v>
      </c>
    </row>
    <row r="50" spans="2:2" x14ac:dyDescent="0.25">
      <c r="B50" t="s">
        <v>70</v>
      </c>
    </row>
    <row r="51" spans="2:2" x14ac:dyDescent="0.25">
      <c r="B51" t="s">
        <v>47</v>
      </c>
    </row>
    <row r="52" spans="2:2" x14ac:dyDescent="0.25">
      <c r="B52" s="6" t="s">
        <v>71</v>
      </c>
    </row>
    <row r="53" spans="2:2" x14ac:dyDescent="0.25">
      <c r="B53" s="6" t="s">
        <v>72</v>
      </c>
    </row>
    <row r="54" spans="2:2" x14ac:dyDescent="0.25">
      <c r="B54" s="6" t="s">
        <v>73</v>
      </c>
    </row>
    <row r="55" spans="2:2" x14ac:dyDescent="0.25">
      <c r="B55" s="6" t="s">
        <v>74</v>
      </c>
    </row>
    <row r="56" spans="2:2" x14ac:dyDescent="0.25">
      <c r="B56" t="s">
        <v>75</v>
      </c>
    </row>
    <row r="57" spans="2:2" x14ac:dyDescent="0.25">
      <c r="B57" t="s">
        <v>76</v>
      </c>
    </row>
    <row r="59" spans="2:2" x14ac:dyDescent="0.25">
      <c r="B59" t="s">
        <v>79</v>
      </c>
    </row>
    <row r="60" spans="2:2" x14ac:dyDescent="0.25">
      <c r="B60" t="s">
        <v>77</v>
      </c>
    </row>
    <row r="61" spans="2:2" x14ac:dyDescent="0.25">
      <c r="B61" t="s">
        <v>82</v>
      </c>
    </row>
    <row r="62" spans="2:2" x14ac:dyDescent="0.25">
      <c r="B62" t="s">
        <v>80</v>
      </c>
    </row>
    <row r="63" spans="2:2" x14ac:dyDescent="0.25">
      <c r="B63" t="s">
        <v>81</v>
      </c>
    </row>
    <row r="65" spans="2:2" x14ac:dyDescent="0.25">
      <c r="B65" t="s">
        <v>93</v>
      </c>
    </row>
    <row r="66" spans="2:2" x14ac:dyDescent="0.25">
      <c r="B66" t="s">
        <v>77</v>
      </c>
    </row>
    <row r="67" spans="2:2" x14ac:dyDescent="0.25">
      <c r="B67" t="s">
        <v>78</v>
      </c>
    </row>
    <row r="69" spans="2:2" x14ac:dyDescent="0.25">
      <c r="B69" t="s">
        <v>94</v>
      </c>
    </row>
    <row r="70" spans="2:2" x14ac:dyDescent="0.25">
      <c r="B70" t="s">
        <v>77</v>
      </c>
    </row>
    <row r="71" spans="2:2" x14ac:dyDescent="0.25">
      <c r="B71" t="s">
        <v>78</v>
      </c>
    </row>
    <row r="73" spans="2:2" x14ac:dyDescent="0.25">
      <c r="B73" t="s">
        <v>91</v>
      </c>
    </row>
    <row r="74" spans="2:2" x14ac:dyDescent="0.25">
      <c r="B74" t="s">
        <v>76</v>
      </c>
    </row>
    <row r="75" spans="2:2" x14ac:dyDescent="0.25">
      <c r="B75" t="s">
        <v>95</v>
      </c>
    </row>
    <row r="76" spans="2:2" x14ac:dyDescent="0.25">
      <c r="B76" t="s">
        <v>75</v>
      </c>
    </row>
  </sheetData>
  <phoneticPr fontId="2" type="noConversion"/>
  <pageMargins left="0.7" right="0.7" top="0.75" bottom="0.75" header="0.3" footer="0.3"/>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139</vt:i4>
      </vt:variant>
    </vt:vector>
  </HeadingPairs>
  <TitlesOfParts>
    <vt:vector size="146" baseType="lpstr">
      <vt:lpstr>Data</vt:lpstr>
      <vt:lpstr>Text</vt:lpstr>
      <vt:lpstr>Recommendations (2)</vt:lpstr>
      <vt:lpstr>Bloods</vt:lpstr>
      <vt:lpstr>Calculations</vt:lpstr>
      <vt:lpstr>GFR calculation</vt:lpstr>
      <vt:lpstr>DropDownLists</vt:lpstr>
      <vt:lpstr>abdo_exam</vt:lpstr>
      <vt:lpstr>Age</vt:lpstr>
      <vt:lpstr>AHA_cardiac_risk_score_flag</vt:lpstr>
      <vt:lpstr>B12_value</vt:lpstr>
      <vt:lpstr>BMI_findings</vt:lpstr>
      <vt:lpstr>BMI_value</vt:lpstr>
      <vt:lpstr>BP_diastolic</vt:lpstr>
      <vt:lpstr>bp_findings</vt:lpstr>
      <vt:lpstr>BP_systolic</vt:lpstr>
      <vt:lpstr>Creatinine_value</vt:lpstr>
      <vt:lpstr>CVS_exam</vt:lpstr>
      <vt:lpstr>D_dimer_findings</vt:lpstr>
      <vt:lpstr>d_dimer_label</vt:lpstr>
      <vt:lpstr>d_dimer_summary</vt:lpstr>
      <vt:lpstr>D_dimer_value</vt:lpstr>
      <vt:lpstr>date_of_report</vt:lpstr>
      <vt:lpstr>diabetes_findings</vt:lpstr>
      <vt:lpstr>Diabetes_label</vt:lpstr>
      <vt:lpstr>Doctor</vt:lpstr>
      <vt:lpstr>drinks_alcohol</vt:lpstr>
      <vt:lpstr>Data!end_of_blood_tests</vt:lpstr>
      <vt:lpstr>Data!end_of_data</vt:lpstr>
      <vt:lpstr>ex_cvs</vt:lpstr>
      <vt:lpstr>examination</vt:lpstr>
      <vt:lpstr>examination_values</vt:lpstr>
      <vt:lpstr>Faeces_label</vt:lpstr>
      <vt:lpstr>fasting_glucose_level</vt:lpstr>
      <vt:lpstr>Fasting_Glucose_value</vt:lpstr>
      <vt:lpstr>ferritin_level</vt:lpstr>
      <vt:lpstr>Ferritin_value</vt:lpstr>
      <vt:lpstr>First_name</vt:lpstr>
      <vt:lpstr>FOB_findings</vt:lpstr>
      <vt:lpstr>FOB_result</vt:lpstr>
      <vt:lpstr>folic_acid_value</vt:lpstr>
      <vt:lpstr>GFR_summary</vt:lpstr>
      <vt:lpstr>GFR_value</vt:lpstr>
      <vt:lpstr>Haematology_findings</vt:lpstr>
      <vt:lpstr>Haematology_label</vt:lpstr>
      <vt:lpstr>Hb_level</vt:lpstr>
      <vt:lpstr>Hb_lower_bound</vt:lpstr>
      <vt:lpstr>Hb_units</vt:lpstr>
      <vt:lpstr>Hb_upper_bound</vt:lpstr>
      <vt:lpstr>Hb_value</vt:lpstr>
      <vt:lpstr>HBA1c_value</vt:lpstr>
      <vt:lpstr>HDL_Cholesterol</vt:lpstr>
      <vt:lpstr>Height_value</vt:lpstr>
      <vt:lpstr>history</vt:lpstr>
      <vt:lpstr>Data!history_alcohol</vt:lpstr>
      <vt:lpstr>Data!history_exercise</vt:lpstr>
      <vt:lpstr>hx_alcohol</vt:lpstr>
      <vt:lpstr>hx_alcohol_units</vt:lpstr>
      <vt:lpstr>hx_allergies</vt:lpstr>
      <vt:lpstr>hx_chol</vt:lpstr>
      <vt:lpstr>hx_dm</vt:lpstr>
      <vt:lpstr>hx_exercise</vt:lpstr>
      <vt:lpstr>hx_fh</vt:lpstr>
      <vt:lpstr>hx_htn</vt:lpstr>
      <vt:lpstr>hx_meds</vt:lpstr>
      <vt:lpstr>hx_mood</vt:lpstr>
      <vt:lpstr>hx_pmh</vt:lpstr>
      <vt:lpstr>hx_se</vt:lpstr>
      <vt:lpstr>hx_smears</vt:lpstr>
      <vt:lpstr>hx_smoking</vt:lpstr>
      <vt:lpstr>iron_level</vt:lpstr>
      <vt:lpstr>Iron_value</vt:lpstr>
      <vt:lpstr>Kidney_findings</vt:lpstr>
      <vt:lpstr>kidney_label</vt:lpstr>
      <vt:lpstr>known_diabetes_flag</vt:lpstr>
      <vt:lpstr>LDL_Cholesterol</vt:lpstr>
      <vt:lpstr>LFT_summary</vt:lpstr>
      <vt:lpstr>Lipid_findings</vt:lpstr>
      <vt:lpstr>Lipids_label</vt:lpstr>
      <vt:lpstr>Liver_findings</vt:lpstr>
      <vt:lpstr>Liver_label</vt:lpstr>
      <vt:lpstr>Magnesium_value</vt:lpstr>
      <vt:lpstr>MSK_exam</vt:lpstr>
      <vt:lpstr>Non_HDL_cholesterol</vt:lpstr>
      <vt:lpstr>oxygen_saturation</vt:lpstr>
      <vt:lpstr>platelets_value</vt:lpstr>
      <vt:lpstr>plt_lower_bound</vt:lpstr>
      <vt:lpstr>plt_units</vt:lpstr>
      <vt:lpstr>plt_upper_bound</vt:lpstr>
      <vt:lpstr>prostate_exam</vt:lpstr>
      <vt:lpstr>Prostate_findings</vt:lpstr>
      <vt:lpstr>Prostate_label</vt:lpstr>
      <vt:lpstr>psa_units</vt:lpstr>
      <vt:lpstr>PSA_upper_limit</vt:lpstr>
      <vt:lpstr>psa_value</vt:lpstr>
      <vt:lpstr>Qrisk3_flag</vt:lpstr>
      <vt:lpstr>recommendations</vt:lpstr>
      <vt:lpstr>recommendations_findings</vt:lpstr>
      <vt:lpstr>resting_heart_rate</vt:lpstr>
      <vt:lpstr>RS_exam</vt:lpstr>
      <vt:lpstr>Sex</vt:lpstr>
      <vt:lpstr>skin_exam</vt:lpstr>
      <vt:lpstr>skin_exam_findings</vt:lpstr>
      <vt:lpstr>Skin_label</vt:lpstr>
      <vt:lpstr>Skin_title</vt:lpstr>
      <vt:lpstr>Data!start_of_blood_tests</vt:lpstr>
      <vt:lpstr>T3_level</vt:lpstr>
      <vt:lpstr>T3_units</vt:lpstr>
      <vt:lpstr>T3_value</vt:lpstr>
      <vt:lpstr>T4_level</vt:lpstr>
      <vt:lpstr>T4_units</vt:lpstr>
      <vt:lpstr>T4_value</vt:lpstr>
      <vt:lpstr>testosterone_findings</vt:lpstr>
      <vt:lpstr>testosterone_level</vt:lpstr>
      <vt:lpstr>testosterone_lower</vt:lpstr>
      <vt:lpstr>testosterone_units</vt:lpstr>
      <vt:lpstr>testosterone_upper</vt:lpstr>
      <vt:lpstr>testosterone_value</vt:lpstr>
      <vt:lpstr>TFT_level</vt:lpstr>
      <vt:lpstr>Thyroid_findings</vt:lpstr>
      <vt:lpstr>Thyroid_label</vt:lpstr>
      <vt:lpstr>TIBC_value</vt:lpstr>
      <vt:lpstr>Total_Cholesterol</vt:lpstr>
      <vt:lpstr>Total_T4_level</vt:lpstr>
      <vt:lpstr>Total_T4_units</vt:lpstr>
      <vt:lpstr>Total_T4_value</vt:lpstr>
      <vt:lpstr>troponin_findings</vt:lpstr>
      <vt:lpstr>troponin_label</vt:lpstr>
      <vt:lpstr>Troponin_value</vt:lpstr>
      <vt:lpstr>TSH_level</vt:lpstr>
      <vt:lpstr>TSH_units</vt:lpstr>
      <vt:lpstr>TSH_value</vt:lpstr>
      <vt:lpstr>Data!urinalysis</vt:lpstr>
      <vt:lpstr>Vitamin_D_level</vt:lpstr>
      <vt:lpstr>Vitamin_D_lower</vt:lpstr>
      <vt:lpstr>Vitamin_D_units</vt:lpstr>
      <vt:lpstr>Vitamin_D_upper</vt:lpstr>
      <vt:lpstr>Vitamin_D_value</vt:lpstr>
      <vt:lpstr>Vitamins_findings</vt:lpstr>
      <vt:lpstr>Vitamins_label</vt:lpstr>
      <vt:lpstr>WBC_lower_bound</vt:lpstr>
      <vt:lpstr>wbc_units</vt:lpstr>
      <vt:lpstr>wbc_upper_bound</vt:lpstr>
      <vt:lpstr>WBC_value</vt:lpstr>
      <vt:lpstr>Weight_value</vt:lpstr>
      <vt:lpstr>Zinc_value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Berry</dc:creator>
  <cp:lastModifiedBy>Nick Berry</cp:lastModifiedBy>
  <dcterms:created xsi:type="dcterms:W3CDTF">2023-09-04T13:42:21Z</dcterms:created>
  <dcterms:modified xsi:type="dcterms:W3CDTF">2024-05-15T11:03:38Z</dcterms:modified>
</cp:coreProperties>
</file>